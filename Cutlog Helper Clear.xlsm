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4890" windowWidth="38340" windowHeight="4950"/>
  </bookViews>
  <sheets>
    <sheet name="Cutlog" sheetId="1" r:id="rId1"/>
    <sheet name="Multilog" sheetId="2" r:id="rId2"/>
    <sheet name="Reference" sheetId="3" r:id="rId3"/>
  </sheets>
  <calcPr calcId="145621"/>
  <customWorkbookViews>
    <customWorkbookView name="Henderson, Matthew - Personal View" guid="{6909F6D7-F74B-4DAF-840B-E8F5749D8A64}" mergeInterval="0" personalView="1" maximized="1" windowWidth="1090" windowHeight="670" activeSheetId="3"/>
  </customWorkbookViews>
</workbook>
</file>

<file path=xl/calcChain.xml><?xml version="1.0" encoding="utf-8"?>
<calcChain xmlns="http://schemas.openxmlformats.org/spreadsheetml/2006/main">
  <c r="B37" i="2" l="1"/>
  <c r="B36" i="2"/>
  <c r="B31" i="2"/>
  <c r="B32" i="2"/>
  <c r="K31" i="2"/>
  <c r="I32" i="2"/>
  <c r="K32" i="2" s="1"/>
  <c r="I33" i="2" l="1"/>
  <c r="K33" i="2" s="1"/>
  <c r="I34" i="2" l="1"/>
  <c r="D15" i="3"/>
  <c r="J12" i="3" s="1"/>
  <c r="K11" i="3"/>
  <c r="J11" i="3"/>
  <c r="K10" i="3"/>
  <c r="J10" i="3"/>
  <c r="K9" i="3"/>
  <c r="J9" i="3"/>
  <c r="K8" i="3"/>
  <c r="J8" i="3"/>
  <c r="K7" i="3"/>
  <c r="J7" i="3"/>
  <c r="K6" i="3"/>
  <c r="J6" i="3"/>
  <c r="K5" i="3"/>
  <c r="J5" i="3"/>
  <c r="K3" i="3"/>
  <c r="K4" i="3"/>
  <c r="J4" i="3"/>
  <c r="J3" i="3"/>
  <c r="M11" i="3"/>
  <c r="M10" i="3"/>
  <c r="M9" i="3"/>
  <c r="M8" i="3"/>
  <c r="M7" i="3"/>
  <c r="M6" i="3"/>
  <c r="M5" i="3"/>
  <c r="M4" i="3"/>
  <c r="M3" i="3"/>
  <c r="I35" i="2" l="1"/>
  <c r="K34" i="2"/>
  <c r="K2" i="3"/>
  <c r="J2" i="3"/>
  <c r="I36" i="2" l="1"/>
  <c r="K35" i="2"/>
  <c r="K13" i="3"/>
  <c r="J13" i="3"/>
  <c r="L13" i="3"/>
  <c r="C23" i="2"/>
  <c r="D23" i="2"/>
  <c r="E23" i="2"/>
  <c r="F23" i="2"/>
  <c r="G23" i="2"/>
  <c r="C21" i="2"/>
  <c r="D21" i="2"/>
  <c r="E21" i="2"/>
  <c r="F21" i="2"/>
  <c r="G21" i="2"/>
  <c r="C19" i="2"/>
  <c r="D19" i="2"/>
  <c r="E19" i="2"/>
  <c r="F19" i="2"/>
  <c r="G19" i="2"/>
  <c r="C17" i="2"/>
  <c r="D17" i="2"/>
  <c r="E17" i="2"/>
  <c r="F17" i="2"/>
  <c r="G17" i="2"/>
  <c r="C15" i="2"/>
  <c r="D15" i="2"/>
  <c r="E15" i="2"/>
  <c r="F15" i="2"/>
  <c r="G15" i="2"/>
  <c r="C13" i="2"/>
  <c r="D13" i="2"/>
  <c r="E13" i="2"/>
  <c r="F13" i="2"/>
  <c r="G13" i="2"/>
  <c r="C11" i="2"/>
  <c r="D11" i="2"/>
  <c r="E11" i="2"/>
  <c r="F11" i="2"/>
  <c r="G11" i="2"/>
  <c r="C9" i="2"/>
  <c r="D9" i="2"/>
  <c r="E9" i="2"/>
  <c r="F9" i="2"/>
  <c r="G9" i="2"/>
  <c r="C7" i="2"/>
  <c r="D7" i="2"/>
  <c r="E7" i="2"/>
  <c r="F7" i="2"/>
  <c r="G7" i="2"/>
  <c r="C5" i="2"/>
  <c r="D5" i="2"/>
  <c r="E5" i="2"/>
  <c r="F5" i="2"/>
  <c r="G5" i="2"/>
  <c r="B23" i="2"/>
  <c r="B21" i="2"/>
  <c r="B19" i="2"/>
  <c r="B17" i="2"/>
  <c r="B15" i="2"/>
  <c r="B13" i="2"/>
  <c r="B11" i="2"/>
  <c r="B9" i="2"/>
  <c r="B7" i="2"/>
  <c r="B5" i="2"/>
  <c r="C5" i="1"/>
  <c r="D5" i="1"/>
  <c r="E5" i="1"/>
  <c r="F5" i="1"/>
  <c r="G5" i="1"/>
  <c r="B5" i="1"/>
  <c r="I37" i="2" l="1"/>
  <c r="K36" i="2"/>
  <c r="L11" i="3"/>
  <c r="L7" i="3"/>
  <c r="L6" i="3"/>
  <c r="L8" i="3"/>
  <c r="L4" i="3"/>
  <c r="L10" i="3"/>
  <c r="L9" i="3"/>
  <c r="L5" i="3"/>
  <c r="L3" i="3"/>
  <c r="L2" i="3"/>
  <c r="M2" i="3" s="1"/>
  <c r="M13" i="3"/>
  <c r="I38" i="2" l="1"/>
  <c r="K38" i="2" s="1"/>
  <c r="K37" i="2"/>
  <c r="K12" i="3"/>
  <c r="L12" i="3" s="1"/>
  <c r="B44" i="2"/>
  <c r="B43" i="2"/>
  <c r="B42" i="2"/>
  <c r="F3" i="3"/>
  <c r="B35" i="2" l="1"/>
  <c r="B34" i="2"/>
  <c r="B33" i="2"/>
  <c r="I2" i="3"/>
  <c r="G8" i="3"/>
  <c r="D4" i="3"/>
  <c r="B10" i="3"/>
  <c r="C10" i="3"/>
  <c r="I8" i="3" l="1"/>
  <c r="H8" i="3"/>
  <c r="I6" i="3" l="1"/>
  <c r="I7" i="3"/>
  <c r="I5" i="3"/>
  <c r="H6" i="3" l="1"/>
  <c r="H2" i="3"/>
  <c r="B9" i="3" s="1"/>
  <c r="H7" i="3"/>
  <c r="G7" i="3"/>
  <c r="F7" i="3"/>
  <c r="E7" i="3"/>
  <c r="D7" i="3"/>
  <c r="H3" i="3"/>
  <c r="H5" i="3" l="1"/>
  <c r="I3" i="3"/>
  <c r="C9" i="3" s="1"/>
  <c r="E3" i="3"/>
  <c r="G3" i="3"/>
  <c r="G4" i="3"/>
  <c r="F4" i="3"/>
  <c r="E4" i="3"/>
  <c r="I4" i="3" l="1"/>
  <c r="H4" i="3"/>
  <c r="A10" i="3" l="1"/>
  <c r="A9" i="3"/>
  <c r="A12" i="3" l="1"/>
  <c r="A11" i="3"/>
  <c r="B15" i="1" l="1"/>
  <c r="B14" i="1"/>
  <c r="B13" i="1"/>
  <c r="B21" i="1"/>
  <c r="B20" i="1"/>
  <c r="B22" i="1"/>
</calcChain>
</file>

<file path=xl/sharedStrings.xml><?xml version="1.0" encoding="utf-8"?>
<sst xmlns="http://schemas.openxmlformats.org/spreadsheetml/2006/main" count="105" uniqueCount="64">
  <si>
    <t>s/w</t>
  </si>
  <si>
    <t>prov mv. re;</t>
  </si>
  <si>
    <t>c/b#</t>
  </si>
  <si>
    <t xml:space="preserve"> </t>
  </si>
  <si>
    <t>. adv;</t>
  </si>
  <si>
    <t>Prov name</t>
  </si>
  <si>
    <t>Call Back #</t>
  </si>
  <si>
    <t>Member Name</t>
  </si>
  <si>
    <t>Requesting (re;) 1</t>
  </si>
  <si>
    <t>Advised (adv;) 2</t>
  </si>
  <si>
    <t xml:space="preserve">Directions </t>
  </si>
  <si>
    <t>Member ID #</t>
  </si>
  <si>
    <t>DOB</t>
  </si>
  <si>
    <t>This is the second Sheet, to continue using, go to the first sheet named "cutlog"</t>
  </si>
  <si>
    <t>Closed Cutlog</t>
  </si>
  <si>
    <t>Open Cutlog</t>
  </si>
  <si>
    <t>PCP Name</t>
  </si>
  <si>
    <t>ELGINQ</t>
  </si>
  <si>
    <t>Activity Code</t>
  </si>
  <si>
    <t>Group Number</t>
  </si>
  <si>
    <t>Check Date</t>
  </si>
  <si>
    <t>Provider ID</t>
  </si>
  <si>
    <t>ATHINQ</t>
  </si>
  <si>
    <t>PCPCHG</t>
  </si>
  <si>
    <t>Auth number</t>
  </si>
  <si>
    <t>Effective date</t>
  </si>
  <si>
    <t>PCP Legacy Number</t>
  </si>
  <si>
    <t>Pcp Name</t>
  </si>
  <si>
    <t>Caller Name</t>
  </si>
  <si>
    <t>Notes</t>
  </si>
  <si>
    <t>Claim #</t>
  </si>
  <si>
    <t>Caller Relationship</t>
  </si>
  <si>
    <t>DOS</t>
  </si>
  <si>
    <t>Billed Amt</t>
  </si>
  <si>
    <t>empty space-^</t>
  </si>
  <si>
    <t>RE Section 1</t>
  </si>
  <si>
    <t>adv section 2</t>
  </si>
  <si>
    <t>APPLST</t>
  </si>
  <si>
    <t>Case Number</t>
  </si>
  <si>
    <t>Resolution Date</t>
  </si>
  <si>
    <r>
      <t xml:space="preserve">Here!! </t>
    </r>
    <r>
      <rPr>
        <b/>
        <sz val="11"/>
        <rFont val="Calibri"/>
        <family val="2"/>
        <scheme val="minor"/>
      </rPr>
      <t>VVVVVV</t>
    </r>
  </si>
  <si>
    <r>
      <t xml:space="preserve">CLICK  </t>
    </r>
    <r>
      <rPr>
        <b/>
        <sz val="11"/>
        <color theme="1"/>
        <rFont val="Calibri"/>
        <family val="2"/>
        <scheme val="minor"/>
      </rPr>
      <t>VVVVVVV</t>
    </r>
  </si>
  <si>
    <t>Location</t>
  </si>
  <si>
    <t>Paid Amt</t>
  </si>
  <si>
    <t>Caller Address</t>
  </si>
  <si>
    <t>CLMNOF</t>
  </si>
  <si>
    <t>Effective Date</t>
  </si>
  <si>
    <t>Activity Code Shortcuts</t>
  </si>
  <si>
    <t>Only edit the cells under blue, purple, and orange. Blue cells are used in the cutlog. Orange cells are for note taking. Purple cells are what happened in the call. Red cells are completed cutlogs. Copy Cutlog using  "Ctrl+C". Paste to MC400 with "Ctrl+V" or "Shift+Insert". Paste to IDX press "Shift+Insert".</t>
  </si>
  <si>
    <t>Status</t>
  </si>
  <si>
    <r>
      <rPr>
        <u/>
        <sz val="10"/>
        <color rgb="FFFF0000"/>
        <rFont val="Calibri"/>
        <family val="2"/>
        <scheme val="minor"/>
      </rPr>
      <t>ELGINQ</t>
    </r>
    <r>
      <rPr>
        <sz val="10"/>
        <rFont val="Calibri"/>
        <family val="2"/>
        <scheme val="minor"/>
      </rPr>
      <t>-Can be used for eligibility, add PCP info if requested by the provider</t>
    </r>
  </si>
  <si>
    <r>
      <rPr>
        <u/>
        <sz val="10"/>
        <color rgb="FFFF0000"/>
        <rFont val="Calibri"/>
        <family val="2"/>
        <scheme val="minor"/>
      </rPr>
      <t>PCPCHG</t>
    </r>
    <r>
      <rPr>
        <sz val="10"/>
        <rFont val="Calibri"/>
        <family val="2"/>
        <scheme val="minor"/>
      </rPr>
      <t>- Can be used for a PCP change, be sure to confirm request of PCP change with the member or responsible party.</t>
    </r>
  </si>
  <si>
    <r>
      <rPr>
        <u/>
        <sz val="9"/>
        <color rgb="FFFF0000"/>
        <rFont val="Calibri"/>
        <family val="2"/>
        <scheme val="minor"/>
      </rPr>
      <t>APPLST</t>
    </r>
    <r>
      <rPr>
        <sz val="9"/>
        <rFont val="Calibri"/>
        <family val="2"/>
        <scheme val="minor"/>
      </rPr>
      <t>- Can be used for a single appeal inquiry</t>
    </r>
  </si>
  <si>
    <r>
      <rPr>
        <u/>
        <sz val="10"/>
        <color rgb="FFFF0000"/>
        <rFont val="Calibri"/>
        <family val="2"/>
        <scheme val="minor"/>
      </rPr>
      <t>ATHINQ</t>
    </r>
    <r>
      <rPr>
        <sz val="10"/>
        <rFont val="Calibri"/>
        <family val="2"/>
        <scheme val="minor"/>
      </rPr>
      <t xml:space="preserve">- Can be used for a single authroization </t>
    </r>
  </si>
  <si>
    <r>
      <rPr>
        <u/>
        <sz val="9"/>
        <color rgb="FFFF0000"/>
        <rFont val="Calibri"/>
        <family val="2"/>
        <scheme val="minor"/>
      </rPr>
      <t>CLMNOF</t>
    </r>
    <r>
      <rPr>
        <sz val="9"/>
        <rFont val="Calibri"/>
        <family val="2"/>
        <scheme val="minor"/>
      </rPr>
      <t xml:space="preserve"> - Can be used for a  claim that is not on file</t>
    </r>
  </si>
  <si>
    <r>
      <rPr>
        <u/>
        <sz val="9"/>
        <color rgb="FFFF0000"/>
        <rFont val="Calibri"/>
        <family val="2"/>
        <scheme val="minor"/>
      </rPr>
      <t>CLMINQ</t>
    </r>
    <r>
      <rPr>
        <sz val="9"/>
        <rFont val="Calibri"/>
        <family val="2"/>
        <scheme val="minor"/>
      </rPr>
      <t>-Can be used for a single claim inquiry, include lines that denied and denial reasons in the "</t>
    </r>
    <r>
      <rPr>
        <b/>
        <u/>
        <sz val="9"/>
        <rFont val="Calibri"/>
        <family val="2"/>
        <scheme val="minor"/>
      </rPr>
      <t>Advised</t>
    </r>
    <r>
      <rPr>
        <sz val="9"/>
        <rFont val="Calibri"/>
        <family val="2"/>
        <scheme val="minor"/>
      </rPr>
      <t xml:space="preserve">" section </t>
    </r>
  </si>
  <si>
    <t>CLMDEN</t>
  </si>
  <si>
    <t>Denial Reason</t>
  </si>
  <si>
    <t xml:space="preserve">Denial Date </t>
  </si>
  <si>
    <t>Check Number</t>
  </si>
  <si>
    <r>
      <rPr>
        <u/>
        <sz val="9"/>
        <color rgb="FFFF0000"/>
        <rFont val="Calibri"/>
        <family val="2"/>
        <scheme val="minor"/>
      </rPr>
      <t>CLMDEN</t>
    </r>
    <r>
      <rPr>
        <sz val="9"/>
        <rFont val="Calibri"/>
        <family val="2"/>
        <scheme val="minor"/>
      </rPr>
      <t xml:space="preserve"> - Can be used for a single claim that has denied</t>
    </r>
  </si>
  <si>
    <t>CLM INQ/PD</t>
  </si>
  <si>
    <t>CLMINQ</t>
  </si>
  <si>
    <t>READV</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</si>
</sst>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u/>
      <sz val="11"/>
      <color theme="1"/>
      <name val="Calibri"/>
      <family val="2"/>
      <scheme val="minor"/>
    </font>
    <font>
      <b/>
      <sz val="11"/>
      <name val="Calibri"/>
      <family val="2"/>
      <scheme val="minor"/>
    </font>
    <font>
      <b/>
      <sz val="48"/>
      <color theme="1"/>
      <name val="Calibri"/>
      <family val="2"/>
      <scheme val="minor"/>
    </font>
    <font>
      <sz val="10"/>
      <color theme="1"/>
      <name val="Calibri"/>
      <family val="2"/>
      <scheme val="minor"/>
    </font>
    <font>
      <b/>
      <sz val="11"/>
      <color theme="1"/>
      <name val="Calibri"/>
      <family val="2"/>
      <scheme val="minor"/>
    </font>
    <font>
      <sz val="10"/>
      <name val="Calibri"/>
      <family val="2"/>
      <scheme val="minor"/>
    </font>
    <font>
      <sz val="9"/>
      <name val="Calibri"/>
      <family val="2"/>
      <scheme val="minor"/>
    </font>
    <font>
      <sz val="11"/>
      <name val="Calibri"/>
      <family val="2"/>
      <scheme val="minor"/>
    </font>
    <font>
      <u/>
      <sz val="9"/>
      <color rgb="FFFF0000"/>
      <name val="Calibri"/>
      <family val="2"/>
      <scheme val="minor"/>
    </font>
    <font>
      <u/>
      <sz val="10"/>
      <color rgb="FFFF0000"/>
      <name val="Calibri"/>
      <family val="2"/>
      <scheme val="minor"/>
    </font>
    <font>
      <b/>
      <u/>
      <sz val="9"/>
      <name val="Calibri"/>
      <family val="2"/>
      <scheme val="minor"/>
    </font>
    <font>
      <sz val="9.5"/>
      <color theme="1"/>
      <name val="Calibri"/>
      <family val="2"/>
      <scheme val="minor"/>
    </font>
  </fonts>
  <fills count="13">
    <fill>
      <patternFill patternType="none"/>
    </fill>
    <fill>
      <patternFill patternType="gray125"/>
    </fill>
    <fill>
      <patternFill patternType="solid">
        <fgColor theme="3" tint="0.59999389629810485"/>
        <bgColor indexed="64"/>
      </patternFill>
    </fill>
    <fill>
      <patternFill patternType="solid">
        <fgColor theme="0" tint="-0.499984740745262"/>
        <bgColor indexed="64"/>
      </patternFill>
    </fill>
    <fill>
      <patternFill patternType="solid">
        <fgColor theme="5"/>
        <bgColor indexed="64"/>
      </patternFill>
    </fill>
    <fill>
      <patternFill patternType="solid">
        <fgColor theme="6" tint="-0.249977111117893"/>
        <bgColor indexed="64"/>
      </patternFill>
    </fill>
    <fill>
      <patternFill patternType="solid">
        <fgColor theme="7"/>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theme="6"/>
        <bgColor indexed="64"/>
      </patternFill>
    </fill>
    <fill>
      <patternFill patternType="solid">
        <fgColor theme="9"/>
        <bgColor indexed="64"/>
      </patternFill>
    </fill>
  </fills>
  <borders count="23">
    <border>
      <left/>
      <right/>
      <top/>
      <bottom/>
      <diagonal/>
    </border>
    <border>
      <left/>
      <right style="thin">
        <color theme="0" tint="-0.499984740745262"/>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theme="0" tint="-0.499984740745262"/>
      </right>
      <top/>
      <bottom style="thin">
        <color indexed="64"/>
      </bottom>
      <diagonal/>
    </border>
    <border>
      <left/>
      <right style="thin">
        <color theme="0" tint="-0.499984740745262"/>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top style="thin">
        <color theme="0" tint="-0.499984740745262"/>
      </top>
      <bottom style="thin">
        <color indexed="64"/>
      </bottom>
      <diagonal/>
    </border>
    <border>
      <left style="thin">
        <color theme="0" tint="-0.499984740745262"/>
      </left>
      <right/>
      <top/>
      <bottom style="thin">
        <color indexed="64"/>
      </bottom>
      <diagonal/>
    </border>
    <border>
      <left style="thin">
        <color theme="0" tint="-0.499984740745262"/>
      </left>
      <right/>
      <top style="thin">
        <color theme="0" tint="-0.499984740745262"/>
      </top>
      <bottom style="thin">
        <color theme="0" tint="-0.499984740745262"/>
      </bottom>
      <diagonal/>
    </border>
  </borders>
  <cellStyleXfs count="1">
    <xf numFmtId="0" fontId="0" fillId="0" borderId="0" applyFont="0" applyFill="0" applyBorder="0" applyAlignment="0" applyProtection="0"/>
  </cellStyleXfs>
  <cellXfs count="128">
    <xf numFmtId="0" fontId="0" fillId="0" borderId="0" xfId="0"/>
    <xf numFmtId="0" fontId="0" fillId="3" borderId="0" xfId="0" applyFill="1" applyBorder="1" applyAlignment="1" applyProtection="1">
      <alignment horizontal="center"/>
    </xf>
    <xf numFmtId="0" fontId="0" fillId="2" borderId="0" xfId="0" applyNumberFormat="1"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Border="1" applyAlignment="1" applyProtection="1">
      <alignment horizontal="center"/>
    </xf>
    <xf numFmtId="0" fontId="0" fillId="0" borderId="0" xfId="0" applyFill="1" applyBorder="1" applyAlignment="1" applyProtection="1">
      <alignment horizontal="center" wrapText="1"/>
    </xf>
    <xf numFmtId="0" fontId="0" fillId="6" borderId="0" xfId="0" applyFill="1" applyBorder="1" applyAlignment="1" applyProtection="1">
      <alignment horizontal="center"/>
    </xf>
    <xf numFmtId="0" fontId="2" fillId="0" borderId="0" xfId="0" applyFont="1" applyFill="1" applyBorder="1" applyAlignment="1" applyProtection="1">
      <alignment horizontal="center" wrapText="1"/>
    </xf>
    <xf numFmtId="0" fontId="0" fillId="3" borderId="0" xfId="0" applyFill="1" applyBorder="1" applyAlignment="1" applyProtection="1">
      <alignment horizontal="center" vertical="top"/>
    </xf>
    <xf numFmtId="0" fontId="0" fillId="4" borderId="0" xfId="0" applyFill="1" applyBorder="1" applyAlignment="1">
      <alignment horizontal="left" wrapText="1"/>
    </xf>
    <xf numFmtId="0" fontId="0" fillId="0" borderId="0" xfId="0" applyFill="1" applyBorder="1" applyAlignment="1">
      <alignment horizontal="left"/>
    </xf>
    <xf numFmtId="49" fontId="0" fillId="9" borderId="0" xfId="0" applyNumberFormat="1" applyFont="1" applyFill="1" applyBorder="1" applyAlignment="1" applyProtection="1">
      <alignment horizontal="center"/>
    </xf>
    <xf numFmtId="49" fontId="0" fillId="10" borderId="0" xfId="0" applyNumberFormat="1" applyFont="1" applyFill="1" applyBorder="1" applyAlignment="1" applyProtection="1">
      <alignment horizontal="center" wrapText="1"/>
      <protection locked="0"/>
    </xf>
    <xf numFmtId="0" fontId="0" fillId="3" borderId="6" xfId="0" applyFill="1" applyBorder="1" applyAlignment="1" applyProtection="1">
      <alignment horizontal="center"/>
    </xf>
    <xf numFmtId="0" fontId="0" fillId="3" borderId="7" xfId="0" applyFill="1" applyBorder="1" applyAlignment="1" applyProtection="1">
      <alignment horizontal="center"/>
    </xf>
    <xf numFmtId="0" fontId="0" fillId="3" borderId="8" xfId="0" applyFill="1" applyBorder="1" applyAlignment="1" applyProtection="1">
      <alignment horizontal="center"/>
    </xf>
    <xf numFmtId="0" fontId="0" fillId="0" borderId="0" xfId="0" applyBorder="1" applyAlignment="1">
      <alignment horizontal="left" wrapText="1"/>
    </xf>
    <xf numFmtId="0" fontId="0" fillId="0" borderId="0" xfId="0" applyBorder="1" applyAlignment="1">
      <alignment horizontal="left"/>
    </xf>
    <xf numFmtId="0" fontId="0" fillId="0" borderId="0" xfId="0" applyFill="1" applyBorder="1" applyAlignment="1">
      <alignment horizontal="left" wrapText="1"/>
    </xf>
    <xf numFmtId="0" fontId="0" fillId="2" borderId="0" xfId="0" applyFill="1" applyBorder="1" applyAlignment="1">
      <alignment horizontal="left" wrapText="1"/>
    </xf>
    <xf numFmtId="0" fontId="0" fillId="6" borderId="0" xfId="0" applyFill="1" applyBorder="1" applyAlignment="1">
      <alignment horizontal="left" wrapText="1"/>
    </xf>
    <xf numFmtId="0" fontId="0" fillId="2" borderId="0" xfId="0" applyFill="1" applyBorder="1" applyAlignment="1">
      <alignment horizontal="left"/>
    </xf>
    <xf numFmtId="0" fontId="0" fillId="6" borderId="0" xfId="0" applyFill="1" applyBorder="1" applyAlignment="1">
      <alignment horizontal="left"/>
    </xf>
    <xf numFmtId="49" fontId="0" fillId="2" borderId="0" xfId="0" applyNumberFormat="1" applyFont="1" applyFill="1" applyBorder="1" applyAlignment="1" applyProtection="1">
      <alignment horizontal="left"/>
    </xf>
    <xf numFmtId="0" fontId="0" fillId="4" borderId="0" xfId="0" applyFill="1" applyBorder="1" applyAlignment="1">
      <alignment horizontal="left"/>
    </xf>
    <xf numFmtId="0" fontId="0" fillId="7" borderId="0" xfId="0" applyFill="1" applyBorder="1" applyAlignment="1"/>
    <xf numFmtId="0" fontId="0" fillId="7" borderId="0" xfId="0" applyFill="1" applyBorder="1" applyAlignment="1" applyProtection="1">
      <protection hidden="1"/>
    </xf>
    <xf numFmtId="0" fontId="0" fillId="7" borderId="0" xfId="0" applyFill="1" applyBorder="1" applyAlignment="1">
      <alignment horizontal="center"/>
    </xf>
    <xf numFmtId="0" fontId="0" fillId="7" borderId="0" xfId="0" applyFill="1" applyBorder="1" applyAlignment="1" applyProtection="1">
      <alignment horizontal="center"/>
      <protection hidden="1"/>
    </xf>
    <xf numFmtId="49" fontId="0" fillId="10" borderId="0" xfId="0" applyNumberFormat="1" applyFill="1" applyBorder="1" applyAlignment="1" applyProtection="1">
      <alignment horizontal="center" wrapText="1"/>
      <protection locked="0"/>
    </xf>
    <xf numFmtId="49" fontId="0" fillId="12" borderId="0" xfId="0" applyNumberFormat="1" applyFont="1" applyFill="1" applyBorder="1" applyAlignment="1" applyProtection="1">
      <alignment horizontal="center"/>
    </xf>
    <xf numFmtId="0" fontId="0" fillId="11" borderId="0" xfId="0" applyFill="1" applyBorder="1" applyAlignment="1">
      <alignment horizontal="left"/>
    </xf>
    <xf numFmtId="0" fontId="0" fillId="4" borderId="0" xfId="0" applyNumberFormat="1" applyFill="1" applyBorder="1" applyAlignment="1">
      <alignment horizontal="left"/>
    </xf>
    <xf numFmtId="49" fontId="0" fillId="10" borderId="0" xfId="0" applyNumberFormat="1" applyFill="1" applyBorder="1" applyAlignment="1" applyProtection="1">
      <alignment horizontal="center" wrapText="1"/>
      <protection locked="0"/>
    </xf>
    <xf numFmtId="0" fontId="5" fillId="5" borderId="0" xfId="0" applyFont="1" applyFill="1" applyBorder="1" applyAlignment="1" applyProtection="1">
      <alignment horizontal="center"/>
    </xf>
    <xf numFmtId="0" fontId="0" fillId="3" borderId="10" xfId="0" applyFont="1" applyFill="1" applyBorder="1" applyAlignment="1" applyProtection="1">
      <alignment horizontal="center"/>
    </xf>
    <xf numFmtId="0" fontId="0" fillId="8" borderId="16" xfId="0" applyFont="1" applyFill="1" applyBorder="1" applyAlignment="1" applyProtection="1">
      <alignment horizontal="center"/>
    </xf>
    <xf numFmtId="0" fontId="0" fillId="3" borderId="10" xfId="0" applyFill="1" applyBorder="1" applyAlignment="1" applyProtection="1">
      <alignment horizontal="center"/>
    </xf>
    <xf numFmtId="0" fontId="0" fillId="3" borderId="17" xfId="0" applyFill="1" applyBorder="1" applyAlignment="1" applyProtection="1">
      <alignment horizontal="center"/>
    </xf>
    <xf numFmtId="0" fontId="0" fillId="3" borderId="19" xfId="0" applyFill="1" applyBorder="1" applyAlignment="1" applyProtection="1">
      <alignment horizontal="center"/>
    </xf>
    <xf numFmtId="0" fontId="0" fillId="8" borderId="18" xfId="0" applyFill="1" applyBorder="1" applyAlignment="1" applyProtection="1">
      <alignment horizontal="center"/>
    </xf>
    <xf numFmtId="0" fontId="0" fillId="8" borderId="12" xfId="0" applyFont="1" applyFill="1" applyBorder="1" applyAlignment="1" applyProtection="1">
      <alignment horizontal="center"/>
    </xf>
    <xf numFmtId="0" fontId="0" fillId="3" borderId="20" xfId="0" applyFill="1" applyBorder="1" applyAlignment="1" applyProtection="1">
      <alignment horizontal="center"/>
    </xf>
    <xf numFmtId="0" fontId="0" fillId="3" borderId="19" xfId="0" applyFill="1" applyBorder="1" applyAlignment="1" applyProtection="1">
      <alignment horizontal="center" vertical="top"/>
    </xf>
    <xf numFmtId="0" fontId="0" fillId="8" borderId="13" xfId="0" applyFill="1" applyBorder="1" applyAlignment="1" applyProtection="1">
      <alignment horizontal="center" wrapText="1"/>
    </xf>
    <xf numFmtId="49" fontId="0" fillId="8" borderId="13" xfId="0" applyNumberFormat="1" applyFill="1" applyBorder="1" applyAlignment="1" applyProtection="1">
      <alignment horizontal="center" wrapText="1"/>
    </xf>
    <xf numFmtId="49" fontId="0" fillId="10" borderId="10" xfId="0" applyNumberFormat="1" applyFill="1" applyBorder="1" applyAlignment="1" applyProtection="1">
      <alignment horizontal="center" wrapText="1"/>
      <protection locked="0"/>
    </xf>
    <xf numFmtId="0" fontId="0" fillId="10" borderId="0" xfId="0" applyFill="1" applyBorder="1" applyAlignment="1">
      <alignment horizontal="left"/>
    </xf>
    <xf numFmtId="0" fontId="0" fillId="9" borderId="0" xfId="0" applyFill="1" applyBorder="1" applyAlignment="1">
      <alignment horizontal="left"/>
    </xf>
    <xf numFmtId="0" fontId="0" fillId="7" borderId="0" xfId="0" applyFill="1" applyBorder="1" applyAlignment="1">
      <alignment horizontal="left"/>
    </xf>
    <xf numFmtId="0" fontId="9" fillId="3" borderId="12" xfId="0" applyFont="1" applyFill="1" applyBorder="1" applyAlignment="1" applyProtection="1">
      <alignment horizontal="center"/>
    </xf>
    <xf numFmtId="49" fontId="0" fillId="10" borderId="10" xfId="0" applyNumberFormat="1" applyFill="1" applyBorder="1" applyAlignment="1" applyProtection="1">
      <alignment horizontal="center" wrapText="1"/>
      <protection locked="0"/>
    </xf>
    <xf numFmtId="0" fontId="0" fillId="3" borderId="0"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Fill="1" applyBorder="1" applyAlignment="1" applyProtection="1">
      <alignment horizontal="center" vertical="center" wrapText="1"/>
    </xf>
    <xf numFmtId="49" fontId="0" fillId="9" borderId="0" xfId="0" applyNumberFormat="1" applyFont="1" applyFill="1" applyBorder="1" applyAlignment="1" applyProtection="1">
      <alignment horizontal="center" vertical="center"/>
    </xf>
    <xf numFmtId="49" fontId="0" fillId="12" borderId="0" xfId="0" applyNumberFormat="1" applyFont="1"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49" fontId="0" fillId="10" borderId="0" xfId="0" applyNumberFormat="1" applyFont="1" applyFill="1" applyBorder="1" applyAlignment="1" applyProtection="1">
      <alignment horizontal="center" vertical="center" wrapText="1"/>
      <protection locked="0"/>
    </xf>
    <xf numFmtId="0" fontId="0" fillId="6" borderId="0" xfId="0" applyFill="1" applyBorder="1" applyAlignment="1" applyProtection="1">
      <alignment horizontal="center" vertical="center"/>
    </xf>
    <xf numFmtId="0" fontId="0" fillId="2" borderId="0" xfId="0" applyNumberFormat="1" applyFont="1" applyFill="1" applyBorder="1" applyAlignment="1" applyProtection="1">
      <alignment horizontal="center" vertical="center"/>
    </xf>
    <xf numFmtId="0" fontId="2" fillId="0" borderId="0" xfId="0" applyFont="1" applyFill="1" applyBorder="1" applyAlignment="1" applyProtection="1">
      <alignment horizontal="center" vertical="center" wrapText="1"/>
    </xf>
    <xf numFmtId="0" fontId="5" fillId="5" borderId="0" xfId="0" applyFont="1"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1" xfId="0" applyFill="1" applyBorder="1" applyAlignment="1" applyProtection="1">
      <alignment horizontal="center" vertical="center"/>
    </xf>
    <xf numFmtId="0" fontId="13" fillId="3" borderId="0" xfId="0" applyFont="1" applyFill="1" applyBorder="1" applyAlignment="1" applyProtection="1">
      <alignment horizontal="center" vertical="center" wrapText="1"/>
    </xf>
    <xf numFmtId="0" fontId="0" fillId="8" borderId="0" xfId="0" applyFont="1" applyFill="1" applyBorder="1" applyAlignment="1" applyProtection="1">
      <alignment horizontal="center" vertical="center"/>
    </xf>
    <xf numFmtId="49" fontId="0" fillId="8" borderId="0" xfId="0" applyNumberFormat="1" applyFill="1" applyBorder="1" applyAlignment="1" applyProtection="1">
      <alignment horizontal="center" vertical="center" wrapText="1"/>
    </xf>
    <xf numFmtId="0" fontId="0" fillId="8" borderId="0" xfId="0" applyFill="1" applyBorder="1" applyAlignment="1" applyProtection="1">
      <alignment horizontal="center" vertical="center"/>
    </xf>
    <xf numFmtId="0" fontId="0" fillId="8" borderId="0" xfId="0" applyFill="1" applyBorder="1" applyAlignment="1" applyProtection="1">
      <alignment horizontal="center" vertical="center" wrapText="1"/>
    </xf>
    <xf numFmtId="0" fontId="8" fillId="10" borderId="7" xfId="0" applyFont="1" applyFill="1" applyBorder="1" applyAlignment="1" applyProtection="1">
      <alignment horizontal="center" wrapText="1"/>
    </xf>
    <xf numFmtId="0" fontId="8" fillId="10" borderId="9" xfId="0" applyFont="1" applyFill="1" applyBorder="1" applyAlignment="1" applyProtection="1">
      <alignment horizontal="center" wrapText="1"/>
    </xf>
    <xf numFmtId="0" fontId="8" fillId="10" borderId="21" xfId="0" applyFont="1" applyFill="1" applyBorder="1" applyAlignment="1" applyProtection="1">
      <alignment horizontal="center" wrapText="1"/>
    </xf>
    <xf numFmtId="0" fontId="0" fillId="6" borderId="0" xfId="0" applyFont="1" applyFill="1" applyBorder="1" applyAlignment="1" applyProtection="1">
      <alignment horizontal="center"/>
    </xf>
    <xf numFmtId="0" fontId="0" fillId="6" borderId="1" xfId="0" applyFont="1" applyFill="1" applyBorder="1" applyAlignment="1" applyProtection="1">
      <alignment horizontal="center"/>
    </xf>
    <xf numFmtId="49" fontId="7" fillId="10" borderId="7" xfId="0" applyNumberFormat="1" applyFont="1" applyFill="1" applyBorder="1" applyAlignment="1" applyProtection="1">
      <alignment horizontal="center" wrapText="1"/>
    </xf>
    <xf numFmtId="49" fontId="8" fillId="10" borderId="7" xfId="0" applyNumberFormat="1" applyFont="1" applyFill="1" applyBorder="1" applyAlignment="1" applyProtection="1">
      <alignment horizontal="center" wrapText="1"/>
    </xf>
    <xf numFmtId="0" fontId="0" fillId="0" borderId="3" xfId="0" applyFill="1" applyBorder="1" applyAlignment="1" applyProtection="1">
      <alignment horizontal="center" vertical="top"/>
    </xf>
    <xf numFmtId="0" fontId="0" fillId="0" borderId="4" xfId="0" applyFill="1" applyBorder="1" applyAlignment="1" applyProtection="1">
      <alignment horizontal="center" vertical="top"/>
    </xf>
    <xf numFmtId="0" fontId="0" fillId="0" borderId="2" xfId="0" applyFill="1" applyBorder="1" applyAlignment="1" applyProtection="1">
      <alignment horizontal="center" vertical="top"/>
    </xf>
    <xf numFmtId="0" fontId="0" fillId="0" borderId="5" xfId="0" applyFill="1" applyBorder="1" applyAlignment="1" applyProtection="1">
      <alignment horizontal="center" vertical="top"/>
    </xf>
    <xf numFmtId="0" fontId="0" fillId="6" borderId="14" xfId="0" applyFont="1" applyFill="1" applyBorder="1" applyAlignment="1" applyProtection="1">
      <alignment horizontal="center"/>
    </xf>
    <xf numFmtId="0" fontId="0" fillId="6" borderId="12" xfId="0" applyFont="1" applyFill="1" applyBorder="1" applyAlignment="1" applyProtection="1">
      <alignment horizontal="center"/>
    </xf>
    <xf numFmtId="49" fontId="0" fillId="0" borderId="15" xfId="0" applyNumberFormat="1" applyFill="1" applyBorder="1" applyAlignment="1" applyProtection="1">
      <alignment horizontal="center" wrapText="1"/>
      <protection locked="0"/>
    </xf>
    <xf numFmtId="49" fontId="0" fillId="0" borderId="11" xfId="0" applyNumberFormat="1" applyFill="1" applyBorder="1" applyAlignment="1" applyProtection="1">
      <alignment horizontal="center" wrapText="1"/>
      <protection locked="0"/>
    </xf>
    <xf numFmtId="0" fontId="13" fillId="3" borderId="12" xfId="0" applyFont="1" applyFill="1" applyBorder="1" applyAlignment="1" applyProtection="1">
      <alignment horizontal="center" wrapText="1"/>
    </xf>
    <xf numFmtId="0" fontId="13" fillId="3" borderId="11" xfId="0" applyFont="1" applyFill="1" applyBorder="1" applyAlignment="1" applyProtection="1">
      <alignment horizontal="center" wrapText="1"/>
    </xf>
    <xf numFmtId="49" fontId="0" fillId="0" borderId="0" xfId="0" applyNumberFormat="1" applyFill="1" applyBorder="1" applyAlignment="1" applyProtection="1">
      <alignment horizontal="center" wrapText="1"/>
      <protection locked="0"/>
    </xf>
    <xf numFmtId="49" fontId="0" fillId="0" borderId="1" xfId="0" applyNumberFormat="1" applyFill="1" applyBorder="1" applyAlignment="1" applyProtection="1">
      <alignment horizontal="center" wrapText="1"/>
      <protection locked="0"/>
    </xf>
    <xf numFmtId="0" fontId="0" fillId="4" borderId="0" xfId="0" applyFill="1" applyBorder="1" applyAlignment="1" applyProtection="1">
      <alignment horizontal="center"/>
    </xf>
    <xf numFmtId="0" fontId="0" fillId="4" borderId="1" xfId="0" applyFill="1" applyBorder="1" applyAlignment="1" applyProtection="1">
      <alignment horizontal="center"/>
    </xf>
    <xf numFmtId="0" fontId="0" fillId="0" borderId="14" xfId="0" applyFill="1" applyBorder="1" applyAlignment="1" applyProtection="1">
      <alignment horizontal="center" vertical="top"/>
    </xf>
    <xf numFmtId="0" fontId="0" fillId="0" borderId="0" xfId="0" applyFill="1" applyBorder="1" applyAlignment="1" applyProtection="1">
      <alignment horizontal="center" vertical="top"/>
    </xf>
    <xf numFmtId="0" fontId="0" fillId="0" borderId="1" xfId="0" applyFill="1" applyBorder="1" applyAlignment="1" applyProtection="1">
      <alignment horizontal="center" vertical="top"/>
    </xf>
    <xf numFmtId="0" fontId="0" fillId="4" borderId="0" xfId="0" applyFill="1" applyBorder="1" applyAlignment="1" applyProtection="1">
      <alignment horizontal="center" wrapText="1"/>
    </xf>
    <xf numFmtId="0" fontId="0" fillId="4" borderId="1" xfId="0" applyFill="1" applyBorder="1" applyAlignment="1" applyProtection="1">
      <alignment horizontal="center" wrapText="1"/>
    </xf>
    <xf numFmtId="0" fontId="0" fillId="0" borderId="14" xfId="0" applyBorder="1" applyAlignment="1" applyProtection="1">
      <alignment horizontal="center"/>
    </xf>
    <xf numFmtId="0" fontId="0" fillId="0" borderId="0" xfId="0" applyBorder="1" applyAlignment="1" applyProtection="1">
      <alignment horizontal="center"/>
    </xf>
    <xf numFmtId="0" fontId="0" fillId="0" borderId="1" xfId="0" applyBorder="1" applyAlignment="1" applyProtection="1">
      <alignment horizontal="center"/>
    </xf>
    <xf numFmtId="49" fontId="0" fillId="5" borderId="0" xfId="0" applyNumberFormat="1" applyFill="1" applyBorder="1" applyAlignment="1" applyProtection="1">
      <alignment horizontal="center"/>
    </xf>
    <xf numFmtId="49" fontId="1" fillId="0" borderId="0" xfId="0" applyNumberFormat="1" applyFont="1" applyFill="1" applyBorder="1" applyAlignment="1" applyProtection="1">
      <alignment horizontal="center" wrapText="1"/>
    </xf>
    <xf numFmtId="0" fontId="0" fillId="12" borderId="0" xfId="0" applyFill="1" applyBorder="1" applyAlignment="1" applyProtection="1">
      <alignment horizontal="center"/>
    </xf>
    <xf numFmtId="0" fontId="0" fillId="12" borderId="1" xfId="0" applyFill="1" applyBorder="1" applyAlignment="1" applyProtection="1">
      <alignment horizontal="center"/>
    </xf>
    <xf numFmtId="49" fontId="0" fillId="10" borderId="10" xfId="0" applyNumberFormat="1" applyFill="1" applyBorder="1" applyAlignment="1" applyProtection="1">
      <alignment horizontal="center" wrapText="1"/>
      <protection locked="0"/>
    </xf>
    <xf numFmtId="49" fontId="0" fillId="10" borderId="17" xfId="0" applyNumberFormat="1" applyFill="1" applyBorder="1" applyAlignment="1" applyProtection="1">
      <alignment horizontal="center" wrapText="1"/>
      <protection locked="0"/>
    </xf>
    <xf numFmtId="0" fontId="0" fillId="0" borderId="2" xfId="0" applyFill="1" applyBorder="1" applyAlignment="1" applyProtection="1">
      <alignment horizontal="center" vertical="center"/>
    </xf>
    <xf numFmtId="0" fontId="0" fillId="0" borderId="22" xfId="0"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4" xfId="0" applyFill="1" applyBorder="1" applyAlignment="1" applyProtection="1">
      <alignment horizontal="center" vertical="center"/>
    </xf>
    <xf numFmtId="49" fontId="0" fillId="0" borderId="0" xfId="0" applyNumberFormat="1" applyFill="1" applyBorder="1" applyAlignment="1" applyProtection="1">
      <alignment horizontal="center" vertical="center" wrapText="1"/>
      <protection locked="0"/>
    </xf>
    <xf numFmtId="0" fontId="0" fillId="4" borderId="0" xfId="0" applyFill="1" applyBorder="1" applyAlignment="1" applyProtection="1">
      <alignment horizontal="center" vertical="center"/>
    </xf>
    <xf numFmtId="0" fontId="0" fillId="0" borderId="0" xfId="0" applyFill="1" applyBorder="1" applyAlignment="1" applyProtection="1">
      <alignment horizontal="center" vertical="center"/>
    </xf>
    <xf numFmtId="0" fontId="8" fillId="10" borderId="9" xfId="0" applyFont="1" applyFill="1" applyBorder="1" applyAlignment="1" applyProtection="1">
      <alignment horizontal="center" vertical="center" wrapText="1"/>
    </xf>
    <xf numFmtId="49" fontId="0" fillId="5" borderId="0" xfId="0" applyNumberFormat="1" applyFill="1" applyBorder="1" applyAlignment="1" applyProtection="1">
      <alignment horizontal="center" vertical="center"/>
    </xf>
    <xf numFmtId="49" fontId="1" fillId="0" borderId="0" xfId="0" applyNumberFormat="1"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49" fontId="0" fillId="10" borderId="1" xfId="0" applyNumberForma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xf>
    <xf numFmtId="0" fontId="0" fillId="6" borderId="1" xfId="0" applyFont="1" applyFill="1" applyBorder="1" applyAlignment="1" applyProtection="1">
      <alignment horizontal="center" vertical="center"/>
    </xf>
    <xf numFmtId="0" fontId="0" fillId="4" borderId="0" xfId="0"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0" fontId="0" fillId="0" borderId="5" xfId="0" applyFill="1" applyBorder="1" applyAlignment="1" applyProtection="1">
      <alignment horizontal="center" vertical="center"/>
    </xf>
    <xf numFmtId="49" fontId="0" fillId="0" borderId="1" xfId="0" applyNumberFormat="1" applyFill="1" applyBorder="1" applyAlignment="1" applyProtection="1">
      <alignment horizontal="center" vertical="center" wrapText="1"/>
      <protection locked="0"/>
    </xf>
    <xf numFmtId="0" fontId="4" fillId="5" borderId="0" xfId="0" applyFont="1" applyFill="1" applyBorder="1" applyAlignment="1">
      <alignment horizontal="center" wrapText="1"/>
    </xf>
  </cellXfs>
  <cellStyles count="1">
    <cellStyle name="Normal"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66675</xdr:colOff>
      <xdr:row>0</xdr:row>
      <xdr:rowOff>95250</xdr:rowOff>
    </xdr:from>
    <xdr:to>
      <xdr:col>0</xdr:col>
      <xdr:colOff>1304925</xdr:colOff>
      <xdr:row>1</xdr:row>
      <xdr:rowOff>485775</xdr:rowOff>
    </xdr:to>
    <xdr:sp macro="[0]!Macro5" textlink="">
      <xdr:nvSpPr>
        <xdr:cNvPr id="4" name="Rounded Rectangle 3"/>
        <xdr:cNvSpPr/>
      </xdr:nvSpPr>
      <xdr:spPr>
        <a:xfrm>
          <a:off x="66675" y="95250"/>
          <a:ext cx="123825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Clear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104775</xdr:colOff>
      <xdr:row>0</xdr:row>
      <xdr:rowOff>57150</xdr:rowOff>
    </xdr:from>
    <xdr:to>
      <xdr:col>0</xdr:col>
      <xdr:colOff>1295400</xdr:colOff>
      <xdr:row>1</xdr:row>
      <xdr:rowOff>542925</xdr:rowOff>
    </xdr:to>
    <xdr:sp macro="[0]!Macro6" textlink="">
      <xdr:nvSpPr>
        <xdr:cNvPr id="2" name="Rounded Rectangle 1"/>
        <xdr:cNvSpPr/>
      </xdr:nvSpPr>
      <xdr:spPr>
        <a:xfrm>
          <a:off x="104775" y="57150"/>
          <a:ext cx="1190625" cy="685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Clear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I24"/>
  <sheetViews>
    <sheetView tabSelected="1" zoomScaleNormal="100" workbookViewId="0">
      <selection activeCell="A4" sqref="A4"/>
    </sheetView>
  </sheetViews>
  <sheetFormatPr defaultRowHeight="15" x14ac:dyDescent="0.25"/>
  <cols>
    <col min="1" max="1" width="20.85546875" style="4" customWidth="1"/>
    <col min="2" max="2" width="22.28515625" style="4" customWidth="1"/>
    <col min="3" max="7" width="20.85546875" style="4" customWidth="1"/>
    <col min="8" max="8" width="2.85546875" style="4" customWidth="1"/>
    <col min="9" max="16384" width="9.140625" style="4"/>
  </cols>
  <sheetData>
    <row r="1" spans="1:9" ht="15.75" customHeight="1" x14ac:dyDescent="0.25">
      <c r="A1" s="1"/>
      <c r="B1" s="102" t="s">
        <v>10</v>
      </c>
      <c r="C1" s="102"/>
      <c r="D1" s="102"/>
      <c r="E1" s="102"/>
      <c r="F1" s="102"/>
      <c r="G1" s="102"/>
      <c r="H1" s="1"/>
      <c r="I1" s="3"/>
    </row>
    <row r="2" spans="1:9" ht="47.25" customHeight="1" x14ac:dyDescent="0.25">
      <c r="A2" s="1"/>
      <c r="B2" s="103" t="s">
        <v>48</v>
      </c>
      <c r="C2" s="103"/>
      <c r="D2" s="103"/>
      <c r="E2" s="103"/>
      <c r="F2" s="103"/>
      <c r="G2" s="103"/>
      <c r="H2" s="1"/>
      <c r="I2" s="5"/>
    </row>
    <row r="3" spans="1:9" ht="15.75" customHeight="1" x14ac:dyDescent="0.25">
      <c r="A3" s="11" t="s">
        <v>5</v>
      </c>
      <c r="B3" s="11" t="s">
        <v>6</v>
      </c>
      <c r="C3" s="30" t="s">
        <v>42</v>
      </c>
      <c r="D3" s="30" t="s">
        <v>21</v>
      </c>
      <c r="E3" s="30" t="s">
        <v>11</v>
      </c>
      <c r="F3" s="30" t="s">
        <v>7</v>
      </c>
      <c r="G3" s="30" t="s">
        <v>12</v>
      </c>
      <c r="H3" s="1"/>
    </row>
    <row r="4" spans="1:9" ht="31.5" customHeight="1" x14ac:dyDescent="0.25">
      <c r="A4" s="46"/>
      <c r="B4" s="12"/>
      <c r="C4" s="12"/>
      <c r="D4" s="33"/>
      <c r="E4" s="12"/>
      <c r="F4" s="12"/>
      <c r="G4" s="12"/>
      <c r="H4" s="1"/>
    </row>
    <row r="5" spans="1:9" ht="15.75" customHeight="1" x14ac:dyDescent="0.25">
      <c r="A5" s="6" t="s">
        <v>18</v>
      </c>
      <c r="B5" s="2" t="str">
        <f>IF(OR(ISNUMBER(SEARCH("clminq",Cutlog!$A$6)),ISNUMBER(SEARCH("clmpd",Cutlog!$A$6))),Reference!B2,IF(ISNUMBER(SEARCH("elginq",Cutlog!$A$6)),Reference!B3,IF(ISNUMBER(SEARCH("athinq",Cutlog!$A$6)),Reference!B4,IF(ISNUMBER(SEARCH("pcpchg",Cutlog!$A$6)),Reference!B5,IF(ISNUMBER(SEARCH("applst",Cutlog!$A$6)),Reference!B6,IF(ISNUMBER(SEARCH("clmnof",Cutlog!$A$6)),Reference!B7,IF(ISNUMBER(SEARCH("clmden",Cutlog!$A$6)),Reference!B8,"X")))))))</f>
        <v>X</v>
      </c>
      <c r="C5" s="2" t="str">
        <f>IF(OR(ISNUMBER(SEARCH("clminq",Cutlog!$A$6)),ISNUMBER(SEARCH("clmpd",Cutlog!$A$6))),Reference!C2,IF(ISNUMBER(SEARCH("elginq",Cutlog!$A$6)),Reference!C3,IF(ISNUMBER(SEARCH("athinq",Cutlog!$A$6)),Reference!C4,IF(ISNUMBER(SEARCH("pcpchg",Cutlog!$A$6)),Reference!C5,IF(ISNUMBER(SEARCH("applst",Cutlog!$A$6)),Reference!C6,IF(ISNUMBER(SEARCH("clmnof",Cutlog!$A$6)),Reference!C7,IF(ISNUMBER(SEARCH("clmden",Cutlog!$A$6)),Reference!C8,"X")))))))</f>
        <v>X</v>
      </c>
      <c r="D5" s="2" t="str">
        <f>IF(OR(ISNUMBER(SEARCH("clminq",Cutlog!$A$6)),ISNUMBER(SEARCH("clmpd",Cutlog!$A$6))),Reference!D2,IF(ISNUMBER(SEARCH("elginq",Cutlog!$A$6)),Reference!D3,IF(ISNUMBER(SEARCH("athinq",Cutlog!$A$6)),Reference!D4,IF(ISNUMBER(SEARCH("pcpchg",Cutlog!$A$6)),Reference!D5,IF(ISNUMBER(SEARCH("applst",Cutlog!$A$6)),Reference!D6,IF(ISNUMBER(SEARCH("clmnof",Cutlog!$A$6)),Reference!D7,IF(ISNUMBER(SEARCH("clmden",Cutlog!$A$6)),Reference!D8,"X")))))))</f>
        <v>X</v>
      </c>
      <c r="E5" s="2" t="str">
        <f>IF(OR(ISNUMBER(SEARCH("clminq",Cutlog!$A$6)),ISNUMBER(SEARCH("clmpd",Cutlog!$A$6))),Reference!E2,IF(ISNUMBER(SEARCH("elginq",Cutlog!$A$6)),Reference!E3,IF(ISNUMBER(SEARCH("athinq",Cutlog!$A$6)),Reference!E4,IF(ISNUMBER(SEARCH("pcpchg",Cutlog!$A$6)),Reference!E5,IF(ISNUMBER(SEARCH("applst",Cutlog!$A$6)),Reference!E6,IF(ISNUMBER(SEARCH("clmnof",Cutlog!$A$6)),Reference!E7,IF(ISNUMBER(SEARCH("clmden",Cutlog!$A$6)),Reference!E8,"X")))))))</f>
        <v>X</v>
      </c>
      <c r="F5" s="2" t="str">
        <f>IF(OR(ISNUMBER(SEARCH("clminq",Cutlog!$A$6)),ISNUMBER(SEARCH("clmpd",Cutlog!$A$6))),Reference!F2,IF(ISNUMBER(SEARCH("elginq",Cutlog!$A$6)),Reference!F3,IF(ISNUMBER(SEARCH("athinq",Cutlog!$A$6)),Reference!F4,IF(ISNUMBER(SEARCH("pcpchg",Cutlog!$A$6)),Reference!F5,IF(ISNUMBER(SEARCH("applst",Cutlog!$A$6)),Reference!F6,IF(ISNUMBER(SEARCH("clmnof",Cutlog!$A$6)),Reference!F7,IF(ISNUMBER(SEARCH("clmden",Cutlog!$A$6)),Reference!F8,"X")))))))</f>
        <v>X</v>
      </c>
      <c r="G5" s="2" t="str">
        <f>IF(OR(ISNUMBER(SEARCH("clminq",Cutlog!$A$6)),ISNUMBER(SEARCH("clmpd",Cutlog!$A$6))),Reference!G2,IF(ISNUMBER(SEARCH("elginq",Cutlog!$A$6)),Reference!G3,IF(ISNUMBER(SEARCH("athinq",Cutlog!$A$6)),Reference!G4,IF(ISNUMBER(SEARCH("pcpchg",Cutlog!$A$6)),Reference!G5,IF(ISNUMBER(SEARCH("applst",Cutlog!$A$6)),Reference!G6,IF(ISNUMBER(SEARCH("clmnof",Cutlog!$A$6)),Reference!G7,IF(ISNUMBER(SEARCH("clmden",Cutlog!$A$6)),Reference!G8,"X")))))))</f>
        <v>X</v>
      </c>
      <c r="H5" s="1"/>
      <c r="I5" s="5"/>
    </row>
    <row r="6" spans="1:9" ht="31.5" customHeight="1" x14ac:dyDescent="0.25">
      <c r="A6" s="64"/>
      <c r="B6" s="59"/>
      <c r="C6" s="59"/>
      <c r="D6" s="59"/>
      <c r="E6" s="29"/>
      <c r="F6" s="29"/>
      <c r="G6" s="51"/>
      <c r="H6" s="1"/>
      <c r="I6" s="7"/>
    </row>
    <row r="7" spans="1:9" ht="15.75" customHeight="1" x14ac:dyDescent="0.25">
      <c r="A7" s="104" t="s">
        <v>29</v>
      </c>
      <c r="B7" s="104"/>
      <c r="C7" s="104"/>
      <c r="D7" s="104"/>
      <c r="E7" s="104"/>
      <c r="F7" s="105"/>
      <c r="G7" s="34" t="s">
        <v>47</v>
      </c>
      <c r="H7" s="13"/>
      <c r="I7" s="7"/>
    </row>
    <row r="8" spans="1:9" ht="31.5" customHeight="1" x14ac:dyDescent="0.25">
      <c r="A8" s="106"/>
      <c r="B8" s="106"/>
      <c r="C8" s="106"/>
      <c r="D8" s="106"/>
      <c r="E8" s="106"/>
      <c r="F8" s="107"/>
      <c r="G8" s="78" t="s">
        <v>50</v>
      </c>
      <c r="H8" s="14"/>
      <c r="I8" s="7"/>
    </row>
    <row r="9" spans="1:9" s="3" customFormat="1" ht="15.75" customHeight="1" x14ac:dyDescent="0.25">
      <c r="A9" s="50"/>
      <c r="B9" s="35"/>
      <c r="C9" s="35"/>
      <c r="D9" s="1"/>
      <c r="E9" s="37"/>
      <c r="F9" s="38"/>
      <c r="G9" s="78"/>
      <c r="H9" s="14"/>
    </row>
    <row r="10" spans="1:9" ht="15.75" customHeight="1" x14ac:dyDescent="0.25">
      <c r="A10" s="88"/>
      <c r="B10" s="84" t="s">
        <v>8</v>
      </c>
      <c r="C10" s="85"/>
      <c r="D10" s="36"/>
      <c r="E10" s="76" t="s">
        <v>9</v>
      </c>
      <c r="F10" s="77"/>
      <c r="G10" s="78" t="s">
        <v>51</v>
      </c>
      <c r="H10" s="14"/>
    </row>
    <row r="11" spans="1:9" ht="47.25" customHeight="1" x14ac:dyDescent="0.25">
      <c r="A11" s="88"/>
      <c r="B11" s="86"/>
      <c r="C11" s="87"/>
      <c r="D11" s="45"/>
      <c r="E11" s="90"/>
      <c r="F11" s="91"/>
      <c r="G11" s="78"/>
      <c r="H11" s="14"/>
    </row>
    <row r="12" spans="1:9" ht="15.75" customHeight="1" x14ac:dyDescent="0.25">
      <c r="A12" s="88"/>
      <c r="B12" s="97" t="s">
        <v>14</v>
      </c>
      <c r="C12" s="97"/>
      <c r="D12" s="97"/>
      <c r="E12" s="97"/>
      <c r="F12" s="98"/>
      <c r="G12" s="78" t="s">
        <v>53</v>
      </c>
      <c r="H12" s="14"/>
    </row>
    <row r="13" spans="1:9" ht="15.75" customHeight="1" x14ac:dyDescent="0.25">
      <c r="A13" s="88"/>
      <c r="B13" s="99" t="str">
        <f>IF(LEN(Reference!A11)&lt;188,(Reference!A11),LEFT(Reference!A11,170))</f>
        <v>s/w  c/b# prov mv. re;. adv;</v>
      </c>
      <c r="C13" s="100"/>
      <c r="D13" s="100"/>
      <c r="E13" s="100"/>
      <c r="F13" s="101"/>
      <c r="G13" s="78"/>
      <c r="H13" s="14"/>
    </row>
    <row r="14" spans="1:9" ht="15.75" customHeight="1" x14ac:dyDescent="0.25">
      <c r="A14" s="88"/>
      <c r="B14" s="99" t="str">
        <f>IF(LEN(Reference!A11)&lt;188,"",MID(Reference!A11,171,170))</f>
        <v/>
      </c>
      <c r="C14" s="100"/>
      <c r="D14" s="100"/>
      <c r="E14" s="100"/>
      <c r="F14" s="101"/>
      <c r="G14" s="79" t="s">
        <v>52</v>
      </c>
      <c r="H14" s="14"/>
    </row>
    <row r="15" spans="1:9" ht="15.75" customHeight="1" x14ac:dyDescent="0.25">
      <c r="A15" s="88"/>
      <c r="B15" s="99" t="str">
        <f>IF(LEN(Reference!A11)&lt;188,"",MID(Reference!A11,341,170))</f>
        <v/>
      </c>
      <c r="C15" s="100"/>
      <c r="D15" s="100"/>
      <c r="E15" s="100"/>
      <c r="F15" s="101"/>
      <c r="G15" s="79"/>
      <c r="H15" s="14"/>
    </row>
    <row r="16" spans="1:9" ht="15.75" customHeight="1" x14ac:dyDescent="0.25">
      <c r="A16" s="88"/>
      <c r="B16" s="42"/>
      <c r="C16" s="43"/>
      <c r="D16" s="8"/>
      <c r="E16" s="39"/>
      <c r="F16" s="40"/>
      <c r="G16" s="73" t="s">
        <v>54</v>
      </c>
      <c r="H16" s="15"/>
    </row>
    <row r="17" spans="1:8" ht="15.75" customHeight="1" x14ac:dyDescent="0.25">
      <c r="A17" s="88"/>
      <c r="B17" s="84"/>
      <c r="C17" s="85"/>
      <c r="D17" s="41"/>
      <c r="E17" s="76"/>
      <c r="F17" s="77"/>
      <c r="G17" s="73"/>
      <c r="H17" s="15"/>
    </row>
    <row r="18" spans="1:8" ht="46.5" customHeight="1" x14ac:dyDescent="0.25">
      <c r="A18" s="88"/>
      <c r="B18" s="86"/>
      <c r="C18" s="87"/>
      <c r="D18" s="44"/>
      <c r="E18" s="90"/>
      <c r="F18" s="91"/>
      <c r="G18" s="74" t="s">
        <v>55</v>
      </c>
      <c r="H18" s="1"/>
    </row>
    <row r="19" spans="1:8" x14ac:dyDescent="0.25">
      <c r="A19" s="88"/>
      <c r="B19" s="92" t="s">
        <v>15</v>
      </c>
      <c r="C19" s="92"/>
      <c r="D19" s="92"/>
      <c r="E19" s="92"/>
      <c r="F19" s="93"/>
      <c r="G19" s="74"/>
      <c r="H19" s="1"/>
    </row>
    <row r="20" spans="1:8" ht="15.75" customHeight="1" x14ac:dyDescent="0.25">
      <c r="A20" s="88"/>
      <c r="B20" s="94" t="str">
        <f>IF(LEN(Reference!A12)&lt;188,(Reference!A12),LEFT(Reference!A12,170))</f>
        <v>s/w  c/b# prov mv. re;. adv;</v>
      </c>
      <c r="C20" s="95"/>
      <c r="D20" s="95"/>
      <c r="E20" s="95"/>
      <c r="F20" s="96"/>
      <c r="G20" s="74" t="s">
        <v>60</v>
      </c>
      <c r="H20" s="1"/>
    </row>
    <row r="21" spans="1:8" ht="15.75" customHeight="1" x14ac:dyDescent="0.25">
      <c r="A21" s="88"/>
      <c r="B21" s="80" t="str">
        <f>IF(LEN(Reference!A12)&lt;188,"",MID(Reference!A12,171,170))</f>
        <v/>
      </c>
      <c r="C21" s="80"/>
      <c r="D21" s="80"/>
      <c r="E21" s="80"/>
      <c r="F21" s="81"/>
      <c r="G21" s="74"/>
      <c r="H21" s="1"/>
    </row>
    <row r="22" spans="1:8" ht="16.5" customHeight="1" x14ac:dyDescent="0.25">
      <c r="A22" s="89"/>
      <c r="B22" s="82" t="str">
        <f>IF(LEN(Reference!A12)&lt;188,"",MID(Reference!A12,341,170))</f>
        <v/>
      </c>
      <c r="C22" s="82"/>
      <c r="D22" s="82"/>
      <c r="E22" s="82"/>
      <c r="F22" s="83"/>
      <c r="G22" s="75"/>
      <c r="H22" s="1"/>
    </row>
    <row r="23" spans="1:8" ht="15.75" customHeight="1" x14ac:dyDescent="0.25">
      <c r="A23" s="1"/>
      <c r="B23" s="1"/>
      <c r="C23" s="1"/>
      <c r="D23" s="1"/>
      <c r="E23" s="1"/>
      <c r="F23" s="1"/>
      <c r="G23" s="1"/>
      <c r="H23" s="1"/>
    </row>
    <row r="24" spans="1:8" x14ac:dyDescent="0.25">
      <c r="G24" s="3"/>
    </row>
  </sheetData>
  <sheetProtection password="CF6E" sheet="1" objects="1" scenarios="1" formatColumns="0" formatRows="0"/>
  <dataConsolidate/>
  <customSheetViews>
    <customSheetView guid="{6909F6D7-F74B-4DAF-840B-E8F5749D8A64}">
      <selection activeCell="A4" sqref="A4"/>
      <pageMargins left="0.7" right="0.7" top="0.75" bottom="0.75" header="0.3" footer="0.3"/>
      <pageSetup orientation="portrait" r:id="rId1"/>
    </customSheetView>
  </customSheetViews>
  <mergeCells count="28">
    <mergeCell ref="B1:G1"/>
    <mergeCell ref="B2:G2"/>
    <mergeCell ref="G8:G9"/>
    <mergeCell ref="A7:F7"/>
    <mergeCell ref="A8:F8"/>
    <mergeCell ref="A10:A22"/>
    <mergeCell ref="B18:C18"/>
    <mergeCell ref="E18:F18"/>
    <mergeCell ref="E11:F11"/>
    <mergeCell ref="B19:F19"/>
    <mergeCell ref="B20:F20"/>
    <mergeCell ref="B12:F12"/>
    <mergeCell ref="B13:F13"/>
    <mergeCell ref="B14:F14"/>
    <mergeCell ref="B15:F15"/>
    <mergeCell ref="G16:G17"/>
    <mergeCell ref="G18:G19"/>
    <mergeCell ref="G20:G22"/>
    <mergeCell ref="E10:F10"/>
    <mergeCell ref="G10:G11"/>
    <mergeCell ref="G12:G13"/>
    <mergeCell ref="G14:G15"/>
    <mergeCell ref="B21:F21"/>
    <mergeCell ref="B22:F22"/>
    <mergeCell ref="B10:C10"/>
    <mergeCell ref="B11:C11"/>
    <mergeCell ref="B17:C17"/>
    <mergeCell ref="E17:F17"/>
  </mergeCell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45"/>
  <sheetViews>
    <sheetView topLeftCell="B16" workbookViewId="0">
      <selection activeCell="B38" sqref="B38"/>
    </sheetView>
  </sheetViews>
  <sheetFormatPr defaultRowHeight="15" x14ac:dyDescent="0.25"/>
  <cols>
    <col min="1" max="1" width="20.85546875" style="54" customWidth="1"/>
    <col min="2" max="2" width="22.28515625" style="54" customWidth="1"/>
    <col min="3" max="7" width="20.85546875" style="54" customWidth="1"/>
    <col min="8" max="8" width="2.85546875" style="54" customWidth="1"/>
    <col min="9" max="16384" width="9.140625" style="54"/>
  </cols>
  <sheetData>
    <row r="1" spans="1:9" ht="15.75" customHeight="1" x14ac:dyDescent="0.25">
      <c r="A1" s="52"/>
      <c r="B1" s="116" t="s">
        <v>10</v>
      </c>
      <c r="C1" s="116"/>
      <c r="D1" s="116"/>
      <c r="E1" s="116"/>
      <c r="F1" s="116"/>
      <c r="G1" s="116"/>
      <c r="H1" s="52"/>
      <c r="I1" s="53"/>
    </row>
    <row r="2" spans="1:9" ht="47.25" customHeight="1" x14ac:dyDescent="0.25">
      <c r="A2" s="52"/>
      <c r="B2" s="117" t="s">
        <v>48</v>
      </c>
      <c r="C2" s="117"/>
      <c r="D2" s="117"/>
      <c r="E2" s="117"/>
      <c r="F2" s="117"/>
      <c r="G2" s="117"/>
      <c r="H2" s="52"/>
      <c r="I2" s="55"/>
    </row>
    <row r="3" spans="1:9" ht="15.75" customHeight="1" x14ac:dyDescent="0.25">
      <c r="A3" s="56" t="s">
        <v>5</v>
      </c>
      <c r="B3" s="56" t="s">
        <v>6</v>
      </c>
      <c r="C3" s="57" t="s">
        <v>42</v>
      </c>
      <c r="D3" s="57" t="s">
        <v>21</v>
      </c>
      <c r="E3" s="57" t="s">
        <v>11</v>
      </c>
      <c r="F3" s="57" t="s">
        <v>7</v>
      </c>
      <c r="G3" s="57" t="s">
        <v>12</v>
      </c>
      <c r="H3" s="52"/>
    </row>
    <row r="4" spans="1:9" ht="15.75" customHeight="1" x14ac:dyDescent="0.25">
      <c r="A4" s="51"/>
      <c r="B4" s="12"/>
      <c r="C4" s="12"/>
      <c r="D4" s="33"/>
      <c r="E4" s="12"/>
      <c r="F4" s="12"/>
      <c r="G4" s="12"/>
      <c r="H4" s="52"/>
    </row>
    <row r="5" spans="1:9" ht="15.75" customHeight="1" x14ac:dyDescent="0.25">
      <c r="A5" s="60" t="s">
        <v>18</v>
      </c>
      <c r="B5" s="61" t="str">
        <f>IF(OR(ISNUMBER(SEARCH("clminq",Multilog!$A6)),ISNUMBER(SEARCH("clmpd",Multilog!$A6))),Reference!B$2,IF(ISNUMBER(SEARCH("elginq",Multilog!$A6)),Reference!B$3,IF(ISNUMBER(SEARCH("athinq",Multilog!$A6)),Reference!B$4,IF(ISNUMBER(SEARCH("pcpchg",Multilog!$A6)),Reference!B$5,IF(ISNUMBER(SEARCH("applst",Multilog!$A6)),Reference!B$6,IF(ISNUMBER(SEARCH("clmnof",Multilog!$A6)),Reference!B$7,IF(ISNUMBER(SEARCH("clmden",Multilog!$A6)),Reference!B$8,"1")))))))</f>
        <v>1</v>
      </c>
      <c r="C5" s="61" t="str">
        <f>IF(OR(ISNUMBER(SEARCH("clminq",Multilog!$A6)),ISNUMBER(SEARCH("clmpd",Multilog!$A6))),Reference!C$2,IF(ISNUMBER(SEARCH("elginq",Multilog!$A6)),Reference!C$3,IF(ISNUMBER(SEARCH("athinq",Multilog!$A6)),Reference!C$4,IF(ISNUMBER(SEARCH("pcpchg",Multilog!$A6)),Reference!C$5,IF(ISNUMBER(SEARCH("applst",Multilog!$A6)),Reference!C$6,IF(ISNUMBER(SEARCH("clmnof",Multilog!$A6)),Reference!C$7,IF(ISNUMBER(SEARCH("clmden",Multilog!$A6)),Reference!C$8,"1")))))))</f>
        <v>1</v>
      </c>
      <c r="D5" s="61" t="str">
        <f>IF(OR(ISNUMBER(SEARCH("clminq",Multilog!$A6)),ISNUMBER(SEARCH("clmpd",Multilog!$A6))),Reference!D$2,IF(ISNUMBER(SEARCH("elginq",Multilog!$A6)),Reference!D$3,IF(ISNUMBER(SEARCH("athinq",Multilog!$A6)),Reference!D$4,IF(ISNUMBER(SEARCH("pcpchg",Multilog!$A6)),Reference!D$5,IF(ISNUMBER(SEARCH("applst",Multilog!$A6)),Reference!D$6,IF(ISNUMBER(SEARCH("clmnof",Multilog!$A6)),Reference!D$7,IF(ISNUMBER(SEARCH("clmden",Multilog!$A6)),Reference!D$8,"1")))))))</f>
        <v>1</v>
      </c>
      <c r="E5" s="61" t="str">
        <f>IF(OR(ISNUMBER(SEARCH("clminq",Multilog!$A6)),ISNUMBER(SEARCH("clmpd",Multilog!$A6))),Reference!E$2,IF(ISNUMBER(SEARCH("elginq",Multilog!$A6)),Reference!E$3,IF(ISNUMBER(SEARCH("athinq",Multilog!$A6)),Reference!E$4,IF(ISNUMBER(SEARCH("pcpchg",Multilog!$A6)),Reference!E$5,IF(ISNUMBER(SEARCH("applst",Multilog!$A6)),Reference!E$6,IF(ISNUMBER(SEARCH("clmnof",Multilog!$A6)),Reference!E$7,IF(ISNUMBER(SEARCH("clmden",Multilog!$A6)),Reference!E$8,"1")))))))</f>
        <v>1</v>
      </c>
      <c r="F5" s="61" t="str">
        <f>IF(OR(ISNUMBER(SEARCH("clminq",Multilog!$A6)),ISNUMBER(SEARCH("clmpd",Multilog!$A6))),Reference!F$2,IF(ISNUMBER(SEARCH("elginq",Multilog!$A6)),Reference!F$3,IF(ISNUMBER(SEARCH("athinq",Multilog!$A6)),Reference!F$4,IF(ISNUMBER(SEARCH("pcpchg",Multilog!$A6)),Reference!F$5,IF(ISNUMBER(SEARCH("applst",Multilog!$A6)),Reference!F$6,IF(ISNUMBER(SEARCH("clmnof",Multilog!$A6)),Reference!F$7,IF(ISNUMBER(SEARCH("clmden",Multilog!$A6)),Reference!F$8,"1")))))))</f>
        <v>1</v>
      </c>
      <c r="G5" s="61" t="str">
        <f>IF(OR(ISNUMBER(SEARCH("clminq",Multilog!$A6)),ISNUMBER(SEARCH("clmpd",Multilog!$A6))),Reference!G$2,IF(ISNUMBER(SEARCH("elginq",Multilog!$A6)),Reference!G$3,IF(ISNUMBER(SEARCH("athinq",Multilog!$A6)),Reference!G$4,IF(ISNUMBER(SEARCH("pcpchg",Multilog!$A6)),Reference!G$5,IF(ISNUMBER(SEARCH("applst",Multilog!$A6)),Reference!G$6,IF(ISNUMBER(SEARCH("clmnof",Multilog!$A6)),Reference!G$7,IF(ISNUMBER(SEARCH("clmden",Multilog!$A6)),Reference!G$8,"1")))))))</f>
        <v>1</v>
      </c>
      <c r="H5" s="52"/>
      <c r="I5" s="55"/>
    </row>
    <row r="6" spans="1:9" ht="15.75" customHeight="1" x14ac:dyDescent="0.25">
      <c r="A6" s="58"/>
      <c r="B6" s="59"/>
      <c r="C6" s="59"/>
      <c r="D6" s="59"/>
      <c r="E6" s="59"/>
      <c r="F6" s="59"/>
      <c r="G6" s="59"/>
      <c r="H6" s="52"/>
      <c r="I6" s="62"/>
    </row>
    <row r="7" spans="1:9" ht="15.75" customHeight="1" x14ac:dyDescent="0.25">
      <c r="A7" s="60" t="s">
        <v>18</v>
      </c>
      <c r="B7" s="61" t="str">
        <f>IF(OR(ISNUMBER(SEARCH("clminq",Multilog!$A8)),ISNUMBER(SEARCH("clmpd",Multilog!$A8))),Reference!B$2,IF(ISNUMBER(SEARCH("elginq",Multilog!$A8)),Reference!B$3,IF(ISNUMBER(SEARCH("athinq",Multilog!$A8)),Reference!B$4,IF(ISNUMBER(SEARCH("pcpchg",Multilog!$A8)),Reference!B$5,IF(ISNUMBER(SEARCH("applst",Multilog!$A8)),Reference!B$6,IF(ISNUMBER(SEARCH("clmnof",Multilog!$A8)),Reference!B$7,IF(ISNUMBER(SEARCH("clmden",Multilog!$A8)),Reference!B$8,"2")))))))</f>
        <v>2</v>
      </c>
      <c r="C7" s="61" t="str">
        <f>IF(OR(ISNUMBER(SEARCH("clminq",Multilog!$A8)),ISNUMBER(SEARCH("clmpd",Multilog!$A8))),Reference!C$2,IF(ISNUMBER(SEARCH("elginq",Multilog!$A8)),Reference!C$3,IF(ISNUMBER(SEARCH("athinq",Multilog!$A8)),Reference!C$4,IF(ISNUMBER(SEARCH("pcpchg",Multilog!$A8)),Reference!C$5,IF(ISNUMBER(SEARCH("applst",Multilog!$A8)),Reference!C$6,IF(ISNUMBER(SEARCH("clmnof",Multilog!$A8)),Reference!C$7,IF(ISNUMBER(SEARCH("clmden",Multilog!$A8)),Reference!C$8,"2")))))))</f>
        <v>2</v>
      </c>
      <c r="D7" s="61" t="str">
        <f>IF(OR(ISNUMBER(SEARCH("clminq",Multilog!$A8)),ISNUMBER(SEARCH("clmpd",Multilog!$A8))),Reference!D$2,IF(ISNUMBER(SEARCH("elginq",Multilog!$A8)),Reference!D$3,IF(ISNUMBER(SEARCH("athinq",Multilog!$A8)),Reference!D$4,IF(ISNUMBER(SEARCH("pcpchg",Multilog!$A8)),Reference!D$5,IF(ISNUMBER(SEARCH("applst",Multilog!$A8)),Reference!D$6,IF(ISNUMBER(SEARCH("clmnof",Multilog!$A8)),Reference!D$7,IF(ISNUMBER(SEARCH("clmden",Multilog!$A8)),Reference!D$8,"2")))))))</f>
        <v>2</v>
      </c>
      <c r="E7" s="61" t="str">
        <f>IF(OR(ISNUMBER(SEARCH("clminq",Multilog!$A8)),ISNUMBER(SEARCH("clmpd",Multilog!$A8))),Reference!E$2,IF(ISNUMBER(SEARCH("elginq",Multilog!$A8)),Reference!E$3,IF(ISNUMBER(SEARCH("athinq",Multilog!$A8)),Reference!E$4,IF(ISNUMBER(SEARCH("pcpchg",Multilog!$A8)),Reference!E$5,IF(ISNUMBER(SEARCH("applst",Multilog!$A8)),Reference!E$6,IF(ISNUMBER(SEARCH("clmnof",Multilog!$A8)),Reference!E$7,IF(ISNUMBER(SEARCH("clmden",Multilog!$A8)),Reference!E$8,"2")))))))</f>
        <v>2</v>
      </c>
      <c r="F7" s="61" t="str">
        <f>IF(OR(ISNUMBER(SEARCH("clminq",Multilog!$A8)),ISNUMBER(SEARCH("clmpd",Multilog!$A8))),Reference!F$2,IF(ISNUMBER(SEARCH("elginq",Multilog!$A8)),Reference!F$3,IF(ISNUMBER(SEARCH("athinq",Multilog!$A8)),Reference!F$4,IF(ISNUMBER(SEARCH("pcpchg",Multilog!$A8)),Reference!F$5,IF(ISNUMBER(SEARCH("applst",Multilog!$A8)),Reference!F$6,IF(ISNUMBER(SEARCH("clmnof",Multilog!$A8)),Reference!F$7,IF(ISNUMBER(SEARCH("clmden",Multilog!$A8)),Reference!F$8,"2")))))))</f>
        <v>2</v>
      </c>
      <c r="G7" s="61" t="str">
        <f>IF(OR(ISNUMBER(SEARCH("clminq",Multilog!$A8)),ISNUMBER(SEARCH("clmpd",Multilog!$A8))),Reference!G$2,IF(ISNUMBER(SEARCH("elginq",Multilog!$A8)),Reference!G$3,IF(ISNUMBER(SEARCH("athinq",Multilog!$A8)),Reference!G$4,IF(ISNUMBER(SEARCH("pcpchg",Multilog!$A8)),Reference!G$5,IF(ISNUMBER(SEARCH("applst",Multilog!$A8)),Reference!G$6,IF(ISNUMBER(SEARCH("clmnof",Multilog!$A8)),Reference!G$7,IF(ISNUMBER(SEARCH("clmden",Multilog!$A8)),Reference!G$8,"2")))))))</f>
        <v>2</v>
      </c>
      <c r="H7" s="52"/>
      <c r="I7" s="55"/>
    </row>
    <row r="8" spans="1:9" ht="15.75" customHeight="1" x14ac:dyDescent="0.25">
      <c r="A8" s="58"/>
      <c r="B8" s="59"/>
      <c r="C8" s="59"/>
      <c r="D8" s="59"/>
      <c r="E8" s="59"/>
      <c r="F8" s="59"/>
      <c r="G8" s="59"/>
      <c r="H8" s="52"/>
      <c r="I8" s="62"/>
    </row>
    <row r="9" spans="1:9" ht="15.75" customHeight="1" x14ac:dyDescent="0.25">
      <c r="A9" s="60" t="s">
        <v>18</v>
      </c>
      <c r="B9" s="61" t="str">
        <f>IF(OR(ISNUMBER(SEARCH("clminq",Multilog!$A10)),ISNUMBER(SEARCH("clmpd",Multilog!$A10))),Reference!B$2,IF(ISNUMBER(SEARCH("elginq",Multilog!$A10)),Reference!B$3,IF(ISNUMBER(SEARCH("athinq",Multilog!$A10)),Reference!B$4,IF(ISNUMBER(SEARCH("pcpchg",Multilog!$A10)),Reference!B$5,IF(ISNUMBER(SEARCH("applst",Multilog!$A10)),Reference!B$6,IF(ISNUMBER(SEARCH("clmnof",Multilog!$A10)),Reference!B$7,IF(ISNUMBER(SEARCH("clmden",Multilog!$A10)),Reference!B$8,"3")))))))</f>
        <v>3</v>
      </c>
      <c r="C9" s="61" t="str">
        <f>IF(OR(ISNUMBER(SEARCH("clminq",Multilog!$A10)),ISNUMBER(SEARCH("clmpd",Multilog!$A10))),Reference!C$2,IF(ISNUMBER(SEARCH("elginq",Multilog!$A10)),Reference!C$3,IF(ISNUMBER(SEARCH("athinq",Multilog!$A10)),Reference!C$4,IF(ISNUMBER(SEARCH("pcpchg",Multilog!$A10)),Reference!C$5,IF(ISNUMBER(SEARCH("applst",Multilog!$A10)),Reference!C$6,IF(ISNUMBER(SEARCH("clmnof",Multilog!$A10)),Reference!C$7,IF(ISNUMBER(SEARCH("clmden",Multilog!$A10)),Reference!C$8,"3")))))))</f>
        <v>3</v>
      </c>
      <c r="D9" s="61" t="str">
        <f>IF(OR(ISNUMBER(SEARCH("clminq",Multilog!$A10)),ISNUMBER(SEARCH("clmpd",Multilog!$A10))),Reference!D$2,IF(ISNUMBER(SEARCH("elginq",Multilog!$A10)),Reference!D$3,IF(ISNUMBER(SEARCH("athinq",Multilog!$A10)),Reference!D$4,IF(ISNUMBER(SEARCH("pcpchg",Multilog!$A10)),Reference!D$5,IF(ISNUMBER(SEARCH("applst",Multilog!$A10)),Reference!D$6,IF(ISNUMBER(SEARCH("clmnof",Multilog!$A10)),Reference!D$7,IF(ISNUMBER(SEARCH("clmden",Multilog!$A10)),Reference!D$8,"3")))))))</f>
        <v>3</v>
      </c>
      <c r="E9" s="61" t="str">
        <f>IF(OR(ISNUMBER(SEARCH("clminq",Multilog!$A10)),ISNUMBER(SEARCH("clmpd",Multilog!$A10))),Reference!E$2,IF(ISNUMBER(SEARCH("elginq",Multilog!$A10)),Reference!E$3,IF(ISNUMBER(SEARCH("athinq",Multilog!$A10)),Reference!E$4,IF(ISNUMBER(SEARCH("pcpchg",Multilog!$A10)),Reference!E$5,IF(ISNUMBER(SEARCH("applst",Multilog!$A10)),Reference!E$6,IF(ISNUMBER(SEARCH("clmnof",Multilog!$A10)),Reference!E$7,IF(ISNUMBER(SEARCH("clmden",Multilog!$A10)),Reference!E$8,"3")))))))</f>
        <v>3</v>
      </c>
      <c r="F9" s="61" t="str">
        <f>IF(OR(ISNUMBER(SEARCH("clminq",Multilog!$A10)),ISNUMBER(SEARCH("clmpd",Multilog!$A10))),Reference!F$2,IF(ISNUMBER(SEARCH("elginq",Multilog!$A10)),Reference!F$3,IF(ISNUMBER(SEARCH("athinq",Multilog!$A10)),Reference!F$4,IF(ISNUMBER(SEARCH("pcpchg",Multilog!$A10)),Reference!F$5,IF(ISNUMBER(SEARCH("applst",Multilog!$A10)),Reference!F$6,IF(ISNUMBER(SEARCH("clmnof",Multilog!$A10)),Reference!F$7,IF(ISNUMBER(SEARCH("clmden",Multilog!$A10)),Reference!F$8,"3")))))))</f>
        <v>3</v>
      </c>
      <c r="G9" s="61" t="str">
        <f>IF(OR(ISNUMBER(SEARCH("clminq",Multilog!$A10)),ISNUMBER(SEARCH("clmpd",Multilog!$A10))),Reference!G$2,IF(ISNUMBER(SEARCH("elginq",Multilog!$A10)),Reference!G$3,IF(ISNUMBER(SEARCH("athinq",Multilog!$A10)),Reference!G$4,IF(ISNUMBER(SEARCH("pcpchg",Multilog!$A10)),Reference!G$5,IF(ISNUMBER(SEARCH("applst",Multilog!$A10)),Reference!G$6,IF(ISNUMBER(SEARCH("clmnof",Multilog!$A10)),Reference!G$7,IF(ISNUMBER(SEARCH("clmden",Multilog!$A10)),Reference!G$8,"3")))))))</f>
        <v>3</v>
      </c>
      <c r="H9" s="52"/>
      <c r="I9" s="55"/>
    </row>
    <row r="10" spans="1:9" ht="15.75" customHeight="1" x14ac:dyDescent="0.25">
      <c r="A10" s="58"/>
      <c r="B10" s="59"/>
      <c r="C10" s="59"/>
      <c r="D10" s="59"/>
      <c r="E10" s="59"/>
      <c r="F10" s="59"/>
      <c r="G10" s="59"/>
      <c r="H10" s="52"/>
      <c r="I10" s="62"/>
    </row>
    <row r="11" spans="1:9" ht="15.75" customHeight="1" x14ac:dyDescent="0.25">
      <c r="A11" s="60" t="s">
        <v>18</v>
      </c>
      <c r="B11" s="61" t="str">
        <f>IF(OR(ISNUMBER(SEARCH("clminq",Multilog!$A12)),ISNUMBER(SEARCH("clmpd",Multilog!$A12))),Reference!B$2,IF(ISNUMBER(SEARCH("elginq",Multilog!$A12)),Reference!B$3,IF(ISNUMBER(SEARCH("athinq",Multilog!$A12)),Reference!B$4,IF(ISNUMBER(SEARCH("pcpchg",Multilog!$A12)),Reference!B$5,IF(ISNUMBER(SEARCH("applst",Multilog!$A12)),Reference!B$6,IF(ISNUMBER(SEARCH("clmnof",Multilog!$A12)),Reference!B$7,IF(ISNUMBER(SEARCH("clmden",Multilog!$A12)),Reference!B$8,"4")))))))</f>
        <v>4</v>
      </c>
      <c r="C11" s="61" t="str">
        <f>IF(OR(ISNUMBER(SEARCH("clminq",Multilog!$A12)),ISNUMBER(SEARCH("clmpd",Multilog!$A12))),Reference!C$2,IF(ISNUMBER(SEARCH("elginq",Multilog!$A12)),Reference!C$3,IF(ISNUMBER(SEARCH("athinq",Multilog!$A12)),Reference!C$4,IF(ISNUMBER(SEARCH("pcpchg",Multilog!$A12)),Reference!C$5,IF(ISNUMBER(SEARCH("applst",Multilog!$A12)),Reference!C$6,IF(ISNUMBER(SEARCH("clmnof",Multilog!$A12)),Reference!C$7,IF(ISNUMBER(SEARCH("clmden",Multilog!$A12)),Reference!C$8,"4")))))))</f>
        <v>4</v>
      </c>
      <c r="D11" s="61" t="str">
        <f>IF(OR(ISNUMBER(SEARCH("clminq",Multilog!$A12)),ISNUMBER(SEARCH("clmpd",Multilog!$A12))),Reference!D$2,IF(ISNUMBER(SEARCH("elginq",Multilog!$A12)),Reference!D$3,IF(ISNUMBER(SEARCH("athinq",Multilog!$A12)),Reference!D$4,IF(ISNUMBER(SEARCH("pcpchg",Multilog!$A12)),Reference!D$5,IF(ISNUMBER(SEARCH("applst",Multilog!$A12)),Reference!D$6,IF(ISNUMBER(SEARCH("clmnof",Multilog!$A12)),Reference!D$7,IF(ISNUMBER(SEARCH("clmden",Multilog!$A12)),Reference!D$8,"4")))))))</f>
        <v>4</v>
      </c>
      <c r="E11" s="61" t="str">
        <f>IF(OR(ISNUMBER(SEARCH("clminq",Multilog!$A12)),ISNUMBER(SEARCH("clmpd",Multilog!$A12))),Reference!E$2,IF(ISNUMBER(SEARCH("elginq",Multilog!$A12)),Reference!E$3,IF(ISNUMBER(SEARCH("athinq",Multilog!$A12)),Reference!E$4,IF(ISNUMBER(SEARCH("pcpchg",Multilog!$A12)),Reference!E$5,IF(ISNUMBER(SEARCH("applst",Multilog!$A12)),Reference!E$6,IF(ISNUMBER(SEARCH("clmnof",Multilog!$A12)),Reference!E$7,IF(ISNUMBER(SEARCH("clmden",Multilog!$A12)),Reference!E$8,"4")))))))</f>
        <v>4</v>
      </c>
      <c r="F11" s="61" t="str">
        <f>IF(OR(ISNUMBER(SEARCH("clminq",Multilog!$A12)),ISNUMBER(SEARCH("clmpd",Multilog!$A12))),Reference!F$2,IF(ISNUMBER(SEARCH("elginq",Multilog!$A12)),Reference!F$3,IF(ISNUMBER(SEARCH("athinq",Multilog!$A12)),Reference!F$4,IF(ISNUMBER(SEARCH("pcpchg",Multilog!$A12)),Reference!F$5,IF(ISNUMBER(SEARCH("applst",Multilog!$A12)),Reference!F$6,IF(ISNUMBER(SEARCH("clmnof",Multilog!$A12)),Reference!F$7,IF(ISNUMBER(SEARCH("clmden",Multilog!$A12)),Reference!F$8,"4")))))))</f>
        <v>4</v>
      </c>
      <c r="G11" s="61" t="str">
        <f>IF(OR(ISNUMBER(SEARCH("clminq",Multilog!$A12)),ISNUMBER(SEARCH("clmpd",Multilog!$A12))),Reference!G$2,IF(ISNUMBER(SEARCH("elginq",Multilog!$A12)),Reference!G$3,IF(ISNUMBER(SEARCH("athinq",Multilog!$A12)),Reference!G$4,IF(ISNUMBER(SEARCH("pcpchg",Multilog!$A12)),Reference!G$5,IF(ISNUMBER(SEARCH("applst",Multilog!$A12)),Reference!G$6,IF(ISNUMBER(SEARCH("clmnof",Multilog!$A12)),Reference!G$7,IF(ISNUMBER(SEARCH("clmden",Multilog!$A12)),Reference!G$8,"4")))))))</f>
        <v>4</v>
      </c>
      <c r="H11" s="52"/>
      <c r="I11" s="55"/>
    </row>
    <row r="12" spans="1:9" ht="15.75" customHeight="1" x14ac:dyDescent="0.25">
      <c r="A12" s="58"/>
      <c r="B12" s="59"/>
      <c r="C12" s="59"/>
      <c r="D12" s="59"/>
      <c r="E12" s="59"/>
      <c r="F12" s="59"/>
      <c r="G12" s="59"/>
      <c r="H12" s="52"/>
      <c r="I12" s="62"/>
    </row>
    <row r="13" spans="1:9" ht="15.75" customHeight="1" x14ac:dyDescent="0.25">
      <c r="A13" s="60" t="s">
        <v>18</v>
      </c>
      <c r="B13" s="61" t="str">
        <f>IF(OR(ISNUMBER(SEARCH("clminq",Multilog!$A14)),ISNUMBER(SEARCH("clmpd",Multilog!$A14))),Reference!B$2,IF(ISNUMBER(SEARCH("elginq",Multilog!$A14)),Reference!B$3,IF(ISNUMBER(SEARCH("athinq",Multilog!$A14)),Reference!B$4,IF(ISNUMBER(SEARCH("pcpchg",Multilog!$A14)),Reference!B$5,IF(ISNUMBER(SEARCH("applst",Multilog!$A14)),Reference!B$6,IF(ISNUMBER(SEARCH("clmnof",Multilog!$A14)),Reference!B$7,IF(ISNUMBER(SEARCH("clmden",Multilog!$A14)),Reference!B$8,"5")))))))</f>
        <v>5</v>
      </c>
      <c r="C13" s="61" t="str">
        <f>IF(OR(ISNUMBER(SEARCH("clminq",Multilog!$A14)),ISNUMBER(SEARCH("clmpd",Multilog!$A14))),Reference!C$2,IF(ISNUMBER(SEARCH("elginq",Multilog!$A14)),Reference!C$3,IF(ISNUMBER(SEARCH("athinq",Multilog!$A14)),Reference!C$4,IF(ISNUMBER(SEARCH("pcpchg",Multilog!$A14)),Reference!C$5,IF(ISNUMBER(SEARCH("applst",Multilog!$A14)),Reference!C$6,IF(ISNUMBER(SEARCH("clmnof",Multilog!$A14)),Reference!C$7,IF(ISNUMBER(SEARCH("clmden",Multilog!$A14)),Reference!C$8,"5")))))))</f>
        <v>5</v>
      </c>
      <c r="D13" s="61" t="str">
        <f>IF(OR(ISNUMBER(SEARCH("clminq",Multilog!$A14)),ISNUMBER(SEARCH("clmpd",Multilog!$A14))),Reference!D$2,IF(ISNUMBER(SEARCH("elginq",Multilog!$A14)),Reference!D$3,IF(ISNUMBER(SEARCH("athinq",Multilog!$A14)),Reference!D$4,IF(ISNUMBER(SEARCH("pcpchg",Multilog!$A14)),Reference!D$5,IF(ISNUMBER(SEARCH("applst",Multilog!$A14)),Reference!D$6,IF(ISNUMBER(SEARCH("clmnof",Multilog!$A14)),Reference!D$7,IF(ISNUMBER(SEARCH("clmden",Multilog!$A14)),Reference!D$8,"5")))))))</f>
        <v>5</v>
      </c>
      <c r="E13" s="61" t="str">
        <f>IF(OR(ISNUMBER(SEARCH("clminq",Multilog!$A14)),ISNUMBER(SEARCH("clmpd",Multilog!$A14))),Reference!E$2,IF(ISNUMBER(SEARCH("elginq",Multilog!$A14)),Reference!E$3,IF(ISNUMBER(SEARCH("athinq",Multilog!$A14)),Reference!E$4,IF(ISNUMBER(SEARCH("pcpchg",Multilog!$A14)),Reference!E$5,IF(ISNUMBER(SEARCH("applst",Multilog!$A14)),Reference!E$6,IF(ISNUMBER(SEARCH("clmnof",Multilog!$A14)),Reference!E$7,IF(ISNUMBER(SEARCH("clmden",Multilog!$A14)),Reference!E$8,"5")))))))</f>
        <v>5</v>
      </c>
      <c r="F13" s="61" t="str">
        <f>IF(OR(ISNUMBER(SEARCH("clminq",Multilog!$A14)),ISNUMBER(SEARCH("clmpd",Multilog!$A14))),Reference!F$2,IF(ISNUMBER(SEARCH("elginq",Multilog!$A14)),Reference!F$3,IF(ISNUMBER(SEARCH("athinq",Multilog!$A14)),Reference!F$4,IF(ISNUMBER(SEARCH("pcpchg",Multilog!$A14)),Reference!F$5,IF(ISNUMBER(SEARCH("applst",Multilog!$A14)),Reference!F$6,IF(ISNUMBER(SEARCH("clmnof",Multilog!$A14)),Reference!F$7,IF(ISNUMBER(SEARCH("clmden",Multilog!$A14)),Reference!F$8,"5")))))))</f>
        <v>5</v>
      </c>
      <c r="G13" s="61" t="str">
        <f>IF(OR(ISNUMBER(SEARCH("clminq",Multilog!$A14)),ISNUMBER(SEARCH("clmpd",Multilog!$A14))),Reference!G$2,IF(ISNUMBER(SEARCH("elginq",Multilog!$A14)),Reference!G$3,IF(ISNUMBER(SEARCH("athinq",Multilog!$A14)),Reference!G$4,IF(ISNUMBER(SEARCH("pcpchg",Multilog!$A14)),Reference!G$5,IF(ISNUMBER(SEARCH("applst",Multilog!$A14)),Reference!G$6,IF(ISNUMBER(SEARCH("clmnof",Multilog!$A14)),Reference!G$7,IF(ISNUMBER(SEARCH("clmden",Multilog!$A14)),Reference!G$8,"5")))))))</f>
        <v>5</v>
      </c>
      <c r="H13" s="52"/>
      <c r="I13" s="55"/>
    </row>
    <row r="14" spans="1:9" ht="15.75" customHeight="1" x14ac:dyDescent="0.25">
      <c r="A14" s="58"/>
      <c r="B14" s="59"/>
      <c r="C14" s="59"/>
      <c r="D14" s="59"/>
      <c r="E14" s="59"/>
      <c r="F14" s="59"/>
      <c r="G14" s="59"/>
      <c r="H14" s="52"/>
      <c r="I14" s="62"/>
    </row>
    <row r="15" spans="1:9" ht="15.75" customHeight="1" x14ac:dyDescent="0.25">
      <c r="A15" s="60" t="s">
        <v>18</v>
      </c>
      <c r="B15" s="61" t="str">
        <f>IF(OR(ISNUMBER(SEARCH("clminq",Multilog!$A16)),ISNUMBER(SEARCH("clmpd",Multilog!$A16))),Reference!B$2,IF(ISNUMBER(SEARCH("elginq",Multilog!$A16)),Reference!B$3,IF(ISNUMBER(SEARCH("athinq",Multilog!$A16)),Reference!B$4,IF(ISNUMBER(SEARCH("pcpchg",Multilog!$A16)),Reference!B$5,IF(ISNUMBER(SEARCH("applst",Multilog!$A16)),Reference!B$6,IF(ISNUMBER(SEARCH("clmnof",Multilog!$A16)),Reference!B$7,IF(ISNUMBER(SEARCH("clmden",Multilog!$A16)),Reference!B$8,"6")))))))</f>
        <v>6</v>
      </c>
      <c r="C15" s="61" t="str">
        <f>IF(OR(ISNUMBER(SEARCH("clminq",Multilog!$A16)),ISNUMBER(SEARCH("clmpd",Multilog!$A16))),Reference!C$2,IF(ISNUMBER(SEARCH("elginq",Multilog!$A16)),Reference!C$3,IF(ISNUMBER(SEARCH("athinq",Multilog!$A16)),Reference!C$4,IF(ISNUMBER(SEARCH("pcpchg",Multilog!$A16)),Reference!C$5,IF(ISNUMBER(SEARCH("applst",Multilog!$A16)),Reference!C$6,IF(ISNUMBER(SEARCH("clmnof",Multilog!$A16)),Reference!C$7,IF(ISNUMBER(SEARCH("clmden",Multilog!$A16)),Reference!C$8,"6")))))))</f>
        <v>6</v>
      </c>
      <c r="D15" s="61" t="str">
        <f>IF(OR(ISNUMBER(SEARCH("clminq",Multilog!$A16)),ISNUMBER(SEARCH("clmpd",Multilog!$A16))),Reference!D$2,IF(ISNUMBER(SEARCH("elginq",Multilog!$A16)),Reference!D$3,IF(ISNUMBER(SEARCH("athinq",Multilog!$A16)),Reference!D$4,IF(ISNUMBER(SEARCH("pcpchg",Multilog!$A16)),Reference!D$5,IF(ISNUMBER(SEARCH("applst",Multilog!$A16)),Reference!D$6,IF(ISNUMBER(SEARCH("clmnof",Multilog!$A16)),Reference!D$7,IF(ISNUMBER(SEARCH("clmden",Multilog!$A16)),Reference!D$8,"6")))))))</f>
        <v>6</v>
      </c>
      <c r="E15" s="61" t="str">
        <f>IF(OR(ISNUMBER(SEARCH("clminq",Multilog!$A16)),ISNUMBER(SEARCH("clmpd",Multilog!$A16))),Reference!E$2,IF(ISNUMBER(SEARCH("elginq",Multilog!$A16)),Reference!E$3,IF(ISNUMBER(SEARCH("athinq",Multilog!$A16)),Reference!E$4,IF(ISNUMBER(SEARCH("pcpchg",Multilog!$A16)),Reference!E$5,IF(ISNUMBER(SEARCH("applst",Multilog!$A16)),Reference!E$6,IF(ISNUMBER(SEARCH("clmnof",Multilog!$A16)),Reference!E$7,IF(ISNUMBER(SEARCH("clmden",Multilog!$A16)),Reference!E$8,"6")))))))</f>
        <v>6</v>
      </c>
      <c r="F15" s="61" t="str">
        <f>IF(OR(ISNUMBER(SEARCH("clminq",Multilog!$A16)),ISNUMBER(SEARCH("clmpd",Multilog!$A16))),Reference!F$2,IF(ISNUMBER(SEARCH("elginq",Multilog!$A16)),Reference!F$3,IF(ISNUMBER(SEARCH("athinq",Multilog!$A16)),Reference!F$4,IF(ISNUMBER(SEARCH("pcpchg",Multilog!$A16)),Reference!F$5,IF(ISNUMBER(SEARCH("applst",Multilog!$A16)),Reference!F$6,IF(ISNUMBER(SEARCH("clmnof",Multilog!$A16)),Reference!F$7,IF(ISNUMBER(SEARCH("clmden",Multilog!$A16)),Reference!F$8,"6")))))))</f>
        <v>6</v>
      </c>
      <c r="G15" s="61" t="str">
        <f>IF(OR(ISNUMBER(SEARCH("clminq",Multilog!$A16)),ISNUMBER(SEARCH("clmpd",Multilog!$A16))),Reference!G$2,IF(ISNUMBER(SEARCH("elginq",Multilog!$A16)),Reference!G$3,IF(ISNUMBER(SEARCH("athinq",Multilog!$A16)),Reference!G$4,IF(ISNUMBER(SEARCH("pcpchg",Multilog!$A16)),Reference!G$5,IF(ISNUMBER(SEARCH("applst",Multilog!$A16)),Reference!G$6,IF(ISNUMBER(SEARCH("clmnof",Multilog!$A16)),Reference!G$7,IF(ISNUMBER(SEARCH("clmden",Multilog!$A16)),Reference!G$8,"6")))))))</f>
        <v>6</v>
      </c>
      <c r="H15" s="52"/>
      <c r="I15" s="55"/>
    </row>
    <row r="16" spans="1:9" ht="15.75" customHeight="1" x14ac:dyDescent="0.25">
      <c r="A16" s="58"/>
      <c r="B16" s="59"/>
      <c r="C16" s="59"/>
      <c r="D16" s="59"/>
      <c r="E16" s="59"/>
      <c r="F16" s="59"/>
      <c r="G16" s="59"/>
      <c r="H16" s="52"/>
      <c r="I16" s="62"/>
    </row>
    <row r="17" spans="1:11" ht="15.75" customHeight="1" x14ac:dyDescent="0.25">
      <c r="A17" s="60" t="s">
        <v>18</v>
      </c>
      <c r="B17" s="61" t="str">
        <f>IF(OR(ISNUMBER(SEARCH("clminq",Multilog!$A18)),ISNUMBER(SEARCH("clmpd",Multilog!$A18))),Reference!B$2,IF(ISNUMBER(SEARCH("elginq",Multilog!$A18)),Reference!B$3,IF(ISNUMBER(SEARCH("athinq",Multilog!$A18)),Reference!B$4,IF(ISNUMBER(SEARCH("pcpchg",Multilog!$A18)),Reference!B$5,IF(ISNUMBER(SEARCH("applst",Multilog!$A18)),Reference!B$6,IF(ISNUMBER(SEARCH("clmnof",Multilog!$A18)),Reference!B$7,IF(ISNUMBER(SEARCH("clmden",Multilog!$A18)),Reference!B$8,"7")))))))</f>
        <v>7</v>
      </c>
      <c r="C17" s="61" t="str">
        <f>IF(OR(ISNUMBER(SEARCH("clminq",Multilog!$A18)),ISNUMBER(SEARCH("clmpd",Multilog!$A18))),Reference!C$2,IF(ISNUMBER(SEARCH("elginq",Multilog!$A18)),Reference!C$3,IF(ISNUMBER(SEARCH("athinq",Multilog!$A18)),Reference!C$4,IF(ISNUMBER(SEARCH("pcpchg",Multilog!$A18)),Reference!C$5,IF(ISNUMBER(SEARCH("applst",Multilog!$A18)),Reference!C$6,IF(ISNUMBER(SEARCH("clmnof",Multilog!$A18)),Reference!C$7,IF(ISNUMBER(SEARCH("clmden",Multilog!$A18)),Reference!C$8,"7")))))))</f>
        <v>7</v>
      </c>
      <c r="D17" s="61" t="str">
        <f>IF(OR(ISNUMBER(SEARCH("clminq",Multilog!$A18)),ISNUMBER(SEARCH("clmpd",Multilog!$A18))),Reference!D$2,IF(ISNUMBER(SEARCH("elginq",Multilog!$A18)),Reference!D$3,IF(ISNUMBER(SEARCH("athinq",Multilog!$A18)),Reference!D$4,IF(ISNUMBER(SEARCH("pcpchg",Multilog!$A18)),Reference!D$5,IF(ISNUMBER(SEARCH("applst",Multilog!$A18)),Reference!D$6,IF(ISNUMBER(SEARCH("clmnof",Multilog!$A18)),Reference!D$7,IF(ISNUMBER(SEARCH("clmden",Multilog!$A18)),Reference!D$8,"7")))))))</f>
        <v>7</v>
      </c>
      <c r="E17" s="61" t="str">
        <f>IF(OR(ISNUMBER(SEARCH("clminq",Multilog!$A18)),ISNUMBER(SEARCH("clmpd",Multilog!$A18))),Reference!E$2,IF(ISNUMBER(SEARCH("elginq",Multilog!$A18)),Reference!E$3,IF(ISNUMBER(SEARCH("athinq",Multilog!$A18)),Reference!E$4,IF(ISNUMBER(SEARCH("pcpchg",Multilog!$A18)),Reference!E$5,IF(ISNUMBER(SEARCH("applst",Multilog!$A18)),Reference!E$6,IF(ISNUMBER(SEARCH("clmnof",Multilog!$A18)),Reference!E$7,IF(ISNUMBER(SEARCH("clmden",Multilog!$A18)),Reference!E$8,"7")))))))</f>
        <v>7</v>
      </c>
      <c r="F17" s="61" t="str">
        <f>IF(OR(ISNUMBER(SEARCH("clminq",Multilog!$A18)),ISNUMBER(SEARCH("clmpd",Multilog!$A18))),Reference!F$2,IF(ISNUMBER(SEARCH("elginq",Multilog!$A18)),Reference!F$3,IF(ISNUMBER(SEARCH("athinq",Multilog!$A18)),Reference!F$4,IF(ISNUMBER(SEARCH("pcpchg",Multilog!$A18)),Reference!F$5,IF(ISNUMBER(SEARCH("applst",Multilog!$A18)),Reference!F$6,IF(ISNUMBER(SEARCH("clmnof",Multilog!$A18)),Reference!F$7,IF(ISNUMBER(SEARCH("clmden",Multilog!$A18)),Reference!F$8,"7")))))))</f>
        <v>7</v>
      </c>
      <c r="G17" s="61" t="str">
        <f>IF(OR(ISNUMBER(SEARCH("clminq",Multilog!$A18)),ISNUMBER(SEARCH("clmpd",Multilog!$A18))),Reference!G$2,IF(ISNUMBER(SEARCH("elginq",Multilog!$A18)),Reference!G$3,IF(ISNUMBER(SEARCH("athinq",Multilog!$A18)),Reference!G$4,IF(ISNUMBER(SEARCH("pcpchg",Multilog!$A18)),Reference!G$5,IF(ISNUMBER(SEARCH("applst",Multilog!$A18)),Reference!G$6,IF(ISNUMBER(SEARCH("clmnof",Multilog!$A18)),Reference!G$7,IF(ISNUMBER(SEARCH("clmden",Multilog!$A18)),Reference!G$8,"7")))))))</f>
        <v>7</v>
      </c>
      <c r="H17" s="52"/>
      <c r="I17" s="55"/>
    </row>
    <row r="18" spans="1:11" ht="15.75" customHeight="1" x14ac:dyDescent="0.25">
      <c r="A18" s="58"/>
      <c r="B18" s="59"/>
      <c r="C18" s="59"/>
      <c r="D18" s="59"/>
      <c r="E18" s="59"/>
      <c r="F18" s="59"/>
      <c r="G18" s="59"/>
      <c r="H18" s="52"/>
      <c r="I18" s="62"/>
    </row>
    <row r="19" spans="1:11" ht="15.75" customHeight="1" x14ac:dyDescent="0.25">
      <c r="A19" s="60" t="s">
        <v>18</v>
      </c>
      <c r="B19" s="61" t="str">
        <f>IF(OR(ISNUMBER(SEARCH("clminq",Multilog!$A20)),ISNUMBER(SEARCH("clmpd",Multilog!$A20))),Reference!B$2,IF(ISNUMBER(SEARCH("elginq",Multilog!$A20)),Reference!B$3,IF(ISNUMBER(SEARCH("athinq",Multilog!$A20)),Reference!B$4,IF(ISNUMBER(SEARCH("pcpchg",Multilog!$A20)),Reference!B$5,IF(ISNUMBER(SEARCH("applst",Multilog!$A20)),Reference!B$6,IF(ISNUMBER(SEARCH("clmnof",Multilog!$A20)),Reference!B$7,IF(ISNUMBER(SEARCH("clmden",Multilog!$A20)),Reference!B$8,"8")))))))</f>
        <v>8</v>
      </c>
      <c r="C19" s="61" t="str">
        <f>IF(OR(ISNUMBER(SEARCH("clminq",Multilog!$A20)),ISNUMBER(SEARCH("clmpd",Multilog!$A20))),Reference!C$2,IF(ISNUMBER(SEARCH("elginq",Multilog!$A20)),Reference!C$3,IF(ISNUMBER(SEARCH("athinq",Multilog!$A20)),Reference!C$4,IF(ISNUMBER(SEARCH("pcpchg",Multilog!$A20)),Reference!C$5,IF(ISNUMBER(SEARCH("applst",Multilog!$A20)),Reference!C$6,IF(ISNUMBER(SEARCH("clmnof",Multilog!$A20)),Reference!C$7,IF(ISNUMBER(SEARCH("clmden",Multilog!$A20)),Reference!C$8,"8")))))))</f>
        <v>8</v>
      </c>
      <c r="D19" s="61" t="str">
        <f>IF(OR(ISNUMBER(SEARCH("clminq",Multilog!$A20)),ISNUMBER(SEARCH("clmpd",Multilog!$A20))),Reference!D$2,IF(ISNUMBER(SEARCH("elginq",Multilog!$A20)),Reference!D$3,IF(ISNUMBER(SEARCH("athinq",Multilog!$A20)),Reference!D$4,IF(ISNUMBER(SEARCH("pcpchg",Multilog!$A20)),Reference!D$5,IF(ISNUMBER(SEARCH("applst",Multilog!$A20)),Reference!D$6,IF(ISNUMBER(SEARCH("clmnof",Multilog!$A20)),Reference!D$7,IF(ISNUMBER(SEARCH("clmden",Multilog!$A20)),Reference!D$8,"8")))))))</f>
        <v>8</v>
      </c>
      <c r="E19" s="61" t="str">
        <f>IF(OR(ISNUMBER(SEARCH("clminq",Multilog!$A20)),ISNUMBER(SEARCH("clmpd",Multilog!$A20))),Reference!E$2,IF(ISNUMBER(SEARCH("elginq",Multilog!$A20)),Reference!E$3,IF(ISNUMBER(SEARCH("athinq",Multilog!$A20)),Reference!E$4,IF(ISNUMBER(SEARCH("pcpchg",Multilog!$A20)),Reference!E$5,IF(ISNUMBER(SEARCH("applst",Multilog!$A20)),Reference!E$6,IF(ISNUMBER(SEARCH("clmnof",Multilog!$A20)),Reference!E$7,IF(ISNUMBER(SEARCH("clmden",Multilog!$A20)),Reference!E$8,"8")))))))</f>
        <v>8</v>
      </c>
      <c r="F19" s="61" t="str">
        <f>IF(OR(ISNUMBER(SEARCH("clminq",Multilog!$A20)),ISNUMBER(SEARCH("clmpd",Multilog!$A20))),Reference!F$2,IF(ISNUMBER(SEARCH("elginq",Multilog!$A20)),Reference!F$3,IF(ISNUMBER(SEARCH("athinq",Multilog!$A20)),Reference!F$4,IF(ISNUMBER(SEARCH("pcpchg",Multilog!$A20)),Reference!F$5,IF(ISNUMBER(SEARCH("applst",Multilog!$A20)),Reference!F$6,IF(ISNUMBER(SEARCH("clmnof",Multilog!$A20)),Reference!F$7,IF(ISNUMBER(SEARCH("clmden",Multilog!$A20)),Reference!F$8,"8")))))))</f>
        <v>8</v>
      </c>
      <c r="G19" s="61" t="str">
        <f>IF(OR(ISNUMBER(SEARCH("clminq",Multilog!$A20)),ISNUMBER(SEARCH("clmpd",Multilog!$A20))),Reference!G$2,IF(ISNUMBER(SEARCH("elginq",Multilog!$A20)),Reference!G$3,IF(ISNUMBER(SEARCH("athinq",Multilog!$A20)),Reference!G$4,IF(ISNUMBER(SEARCH("pcpchg",Multilog!$A20)),Reference!G$5,IF(ISNUMBER(SEARCH("applst",Multilog!$A20)),Reference!G$6,IF(ISNUMBER(SEARCH("clmnof",Multilog!$A20)),Reference!G$7,IF(ISNUMBER(SEARCH("clmden",Multilog!$A20)),Reference!G$8,"8")))))))</f>
        <v>8</v>
      </c>
      <c r="H19" s="52"/>
      <c r="I19" s="55"/>
    </row>
    <row r="20" spans="1:11" ht="15.75" customHeight="1" x14ac:dyDescent="0.25">
      <c r="A20" s="58"/>
      <c r="B20" s="59"/>
      <c r="C20" s="59"/>
      <c r="D20" s="59"/>
      <c r="E20" s="59"/>
      <c r="F20" s="59"/>
      <c r="G20" s="59"/>
      <c r="H20" s="52"/>
      <c r="I20" s="62"/>
    </row>
    <row r="21" spans="1:11" ht="15.75" customHeight="1" x14ac:dyDescent="0.25">
      <c r="A21" s="60" t="s">
        <v>18</v>
      </c>
      <c r="B21" s="61" t="str">
        <f>IF(OR(ISNUMBER(SEARCH("clminq",Multilog!$A22)),ISNUMBER(SEARCH("clmpd",Multilog!$A22))),Reference!B$2,IF(ISNUMBER(SEARCH("elginq",Multilog!$A22)),Reference!B$3,IF(ISNUMBER(SEARCH("athinq",Multilog!$A22)),Reference!B$4,IF(ISNUMBER(SEARCH("pcpchg",Multilog!$A22)),Reference!B$5,IF(ISNUMBER(SEARCH("applst",Multilog!$A22)),Reference!B$6,IF(ISNUMBER(SEARCH("clmnof",Multilog!$A22)),Reference!B$7,IF(ISNUMBER(SEARCH("clmden",Multilog!$A22)),Reference!B$8,"9")))))))</f>
        <v>9</v>
      </c>
      <c r="C21" s="61" t="str">
        <f>IF(OR(ISNUMBER(SEARCH("clminq",Multilog!$A22)),ISNUMBER(SEARCH("clmpd",Multilog!$A22))),Reference!C$2,IF(ISNUMBER(SEARCH("elginq",Multilog!$A22)),Reference!C$3,IF(ISNUMBER(SEARCH("athinq",Multilog!$A22)),Reference!C$4,IF(ISNUMBER(SEARCH("pcpchg",Multilog!$A22)),Reference!C$5,IF(ISNUMBER(SEARCH("applst",Multilog!$A22)),Reference!C$6,IF(ISNUMBER(SEARCH("clmnof",Multilog!$A22)),Reference!C$7,IF(ISNUMBER(SEARCH("clmden",Multilog!$A22)),Reference!C$8,"9")))))))</f>
        <v>9</v>
      </c>
      <c r="D21" s="61" t="str">
        <f>IF(OR(ISNUMBER(SEARCH("clminq",Multilog!$A22)),ISNUMBER(SEARCH("clmpd",Multilog!$A22))),Reference!D$2,IF(ISNUMBER(SEARCH("elginq",Multilog!$A22)),Reference!D$3,IF(ISNUMBER(SEARCH("athinq",Multilog!$A22)),Reference!D$4,IF(ISNUMBER(SEARCH("pcpchg",Multilog!$A22)),Reference!D$5,IF(ISNUMBER(SEARCH("applst",Multilog!$A22)),Reference!D$6,IF(ISNUMBER(SEARCH("clmnof",Multilog!$A22)),Reference!D$7,IF(ISNUMBER(SEARCH("clmden",Multilog!$A22)),Reference!D$8,"9")))))))</f>
        <v>9</v>
      </c>
      <c r="E21" s="61" t="str">
        <f>IF(OR(ISNUMBER(SEARCH("clminq",Multilog!$A22)),ISNUMBER(SEARCH("clmpd",Multilog!$A22))),Reference!E$2,IF(ISNUMBER(SEARCH("elginq",Multilog!$A22)),Reference!E$3,IF(ISNUMBER(SEARCH("athinq",Multilog!$A22)),Reference!E$4,IF(ISNUMBER(SEARCH("pcpchg",Multilog!$A22)),Reference!E$5,IF(ISNUMBER(SEARCH("applst",Multilog!$A22)),Reference!E$6,IF(ISNUMBER(SEARCH("clmnof",Multilog!$A22)),Reference!E$7,IF(ISNUMBER(SEARCH("clmden",Multilog!$A22)),Reference!E$8,"9")))))))</f>
        <v>9</v>
      </c>
      <c r="F21" s="61" t="str">
        <f>IF(OR(ISNUMBER(SEARCH("clminq",Multilog!$A22)),ISNUMBER(SEARCH("clmpd",Multilog!$A22))),Reference!F$2,IF(ISNUMBER(SEARCH("elginq",Multilog!$A22)),Reference!F$3,IF(ISNUMBER(SEARCH("athinq",Multilog!$A22)),Reference!F$4,IF(ISNUMBER(SEARCH("pcpchg",Multilog!$A22)),Reference!F$5,IF(ISNUMBER(SEARCH("applst",Multilog!$A22)),Reference!F$6,IF(ISNUMBER(SEARCH("clmnof",Multilog!$A22)),Reference!F$7,IF(ISNUMBER(SEARCH("clmden",Multilog!$A22)),Reference!F$8,"9")))))))</f>
        <v>9</v>
      </c>
      <c r="G21" s="61" t="str">
        <f>IF(OR(ISNUMBER(SEARCH("clminq",Multilog!$A22)),ISNUMBER(SEARCH("clmpd",Multilog!$A22))),Reference!G$2,IF(ISNUMBER(SEARCH("elginq",Multilog!$A22)),Reference!G$3,IF(ISNUMBER(SEARCH("athinq",Multilog!$A22)),Reference!G$4,IF(ISNUMBER(SEARCH("pcpchg",Multilog!$A22)),Reference!G$5,IF(ISNUMBER(SEARCH("applst",Multilog!$A22)),Reference!G$6,IF(ISNUMBER(SEARCH("clmnof",Multilog!$A22)),Reference!G$7,IF(ISNUMBER(SEARCH("clmden",Multilog!$A22)),Reference!G$8,"9")))))))</f>
        <v>9</v>
      </c>
      <c r="H21" s="52"/>
      <c r="I21" s="55"/>
    </row>
    <row r="22" spans="1:11" ht="15.75" customHeight="1" x14ac:dyDescent="0.25">
      <c r="A22" s="58"/>
      <c r="B22" s="59"/>
      <c r="C22" s="59"/>
      <c r="D22" s="59"/>
      <c r="E22" s="59"/>
      <c r="F22" s="59"/>
      <c r="G22" s="59"/>
      <c r="H22" s="52"/>
      <c r="I22" s="55"/>
    </row>
    <row r="23" spans="1:11" ht="15.75" customHeight="1" x14ac:dyDescent="0.25">
      <c r="A23" s="60" t="s">
        <v>18</v>
      </c>
      <c r="B23" s="61" t="str">
        <f>IF(OR(ISNUMBER(SEARCH("clminq",Multilog!$A24)),ISNUMBER(SEARCH("clmpd",Multilog!$A24))),Reference!B$2,IF(ISNUMBER(SEARCH("elginq",Multilog!$A24)),Reference!B$3,IF(ISNUMBER(SEARCH("athinq",Multilog!$A24)),Reference!B$4,IF(ISNUMBER(SEARCH("pcpchg",Multilog!$A24)),Reference!B$5,IF(ISNUMBER(SEARCH("applst",Multilog!$A24)),Reference!B$6,IF(ISNUMBER(SEARCH("clmnof",Multilog!$A24)),Reference!B$7,IF(ISNUMBER(SEARCH("clmden",Multilog!$A24)),Reference!B$8,"10")))))))</f>
        <v>10</v>
      </c>
      <c r="C23" s="61" t="str">
        <f>IF(OR(ISNUMBER(SEARCH("clminq",Multilog!$A24)),ISNUMBER(SEARCH("clmpd",Multilog!$A24))),Reference!C$2,IF(ISNUMBER(SEARCH("elginq",Multilog!$A24)),Reference!C$3,IF(ISNUMBER(SEARCH("athinq",Multilog!$A24)),Reference!C$4,IF(ISNUMBER(SEARCH("pcpchg",Multilog!$A24)),Reference!C$5,IF(ISNUMBER(SEARCH("applst",Multilog!$A24)),Reference!C$6,IF(ISNUMBER(SEARCH("clmnof",Multilog!$A24)),Reference!C$7,IF(ISNUMBER(SEARCH("clmden",Multilog!$A24)),Reference!C$8,"10")))))))</f>
        <v>10</v>
      </c>
      <c r="D23" s="61" t="str">
        <f>IF(OR(ISNUMBER(SEARCH("clminq",Multilog!$A24)),ISNUMBER(SEARCH("clmpd",Multilog!$A24))),Reference!D$2,IF(ISNUMBER(SEARCH("elginq",Multilog!$A24)),Reference!D$3,IF(ISNUMBER(SEARCH("athinq",Multilog!$A24)),Reference!D$4,IF(ISNUMBER(SEARCH("pcpchg",Multilog!$A24)),Reference!D$5,IF(ISNUMBER(SEARCH("applst",Multilog!$A24)),Reference!D$6,IF(ISNUMBER(SEARCH("clmnof",Multilog!$A24)),Reference!D$7,IF(ISNUMBER(SEARCH("clmden",Multilog!$A24)),Reference!D$8,"10")))))))</f>
        <v>10</v>
      </c>
      <c r="E23" s="61" t="str">
        <f>IF(OR(ISNUMBER(SEARCH("clminq",Multilog!$A24)),ISNUMBER(SEARCH("clmpd",Multilog!$A24))),Reference!E$2,IF(ISNUMBER(SEARCH("elginq",Multilog!$A24)),Reference!E$3,IF(ISNUMBER(SEARCH("athinq",Multilog!$A24)),Reference!E$4,IF(ISNUMBER(SEARCH("pcpchg",Multilog!$A24)),Reference!E$5,IF(ISNUMBER(SEARCH("applst",Multilog!$A24)),Reference!E$6,IF(ISNUMBER(SEARCH("clmnof",Multilog!$A24)),Reference!E$7,IF(ISNUMBER(SEARCH("clmden",Multilog!$A24)),Reference!E$8,"10")))))))</f>
        <v>10</v>
      </c>
      <c r="F23" s="61" t="str">
        <f>IF(OR(ISNUMBER(SEARCH("clminq",Multilog!$A24)),ISNUMBER(SEARCH("clmpd",Multilog!$A24))),Reference!F$2,IF(ISNUMBER(SEARCH("elginq",Multilog!$A24)),Reference!F$3,IF(ISNUMBER(SEARCH("athinq",Multilog!$A24)),Reference!F$4,IF(ISNUMBER(SEARCH("pcpchg",Multilog!$A24)),Reference!F$5,IF(ISNUMBER(SEARCH("applst",Multilog!$A24)),Reference!F$6,IF(ISNUMBER(SEARCH("clmnof",Multilog!$A24)),Reference!F$7,IF(ISNUMBER(SEARCH("clmden",Multilog!$A24)),Reference!F$8,"10")))))))</f>
        <v>10</v>
      </c>
      <c r="G23" s="61" t="str">
        <f>IF(OR(ISNUMBER(SEARCH("clminq",Multilog!$A24)),ISNUMBER(SEARCH("clmpd",Multilog!$A24))),Reference!G$2,IF(ISNUMBER(SEARCH("elginq",Multilog!$A24)),Reference!G$3,IF(ISNUMBER(SEARCH("athinq",Multilog!$A24)),Reference!G$4,IF(ISNUMBER(SEARCH("pcpchg",Multilog!$A24)),Reference!G$5,IF(ISNUMBER(SEARCH("applst",Multilog!$A24)),Reference!G$6,IF(ISNUMBER(SEARCH("clmnof",Multilog!$A24)),Reference!G$7,IF(ISNUMBER(SEARCH("clmden",Multilog!$A24)),Reference!G$8,"10")))))))</f>
        <v>10</v>
      </c>
      <c r="H23" s="52"/>
      <c r="I23" s="55"/>
    </row>
    <row r="24" spans="1:11" ht="15.75" customHeight="1" x14ac:dyDescent="0.25">
      <c r="A24" s="58"/>
      <c r="B24" s="59"/>
      <c r="C24" s="59"/>
      <c r="D24" s="59"/>
      <c r="E24" s="59"/>
      <c r="F24" s="59"/>
      <c r="G24" s="59"/>
      <c r="H24" s="52"/>
      <c r="I24" s="55"/>
    </row>
    <row r="25" spans="1:11" ht="15.75" customHeight="1" x14ac:dyDescent="0.25">
      <c r="A25" s="118" t="s">
        <v>29</v>
      </c>
      <c r="B25" s="118"/>
      <c r="C25" s="118"/>
      <c r="D25" s="118"/>
      <c r="E25" s="118"/>
      <c r="F25" s="118"/>
      <c r="G25" s="63" t="s">
        <v>47</v>
      </c>
      <c r="H25" s="52"/>
      <c r="I25" s="62"/>
    </row>
    <row r="26" spans="1:11" ht="31.5" customHeight="1" x14ac:dyDescent="0.25">
      <c r="A26" s="119"/>
      <c r="B26" s="119"/>
      <c r="C26" s="119"/>
      <c r="D26" s="119"/>
      <c r="E26" s="119"/>
      <c r="F26" s="120"/>
      <c r="G26" s="115" t="s">
        <v>54</v>
      </c>
      <c r="H26" s="52"/>
      <c r="I26" s="62"/>
    </row>
    <row r="27" spans="1:11" s="53" customFormat="1" ht="15.75" customHeight="1" x14ac:dyDescent="0.25">
      <c r="A27" s="65"/>
      <c r="B27" s="66"/>
      <c r="C27" s="66"/>
      <c r="D27" s="52"/>
      <c r="E27" s="52"/>
      <c r="F27" s="67"/>
      <c r="G27" s="115"/>
      <c r="H27" s="52"/>
      <c r="I27" s="62"/>
    </row>
    <row r="28" spans="1:11" ht="15.75" customHeight="1" x14ac:dyDescent="0.25">
      <c r="A28" s="68"/>
      <c r="B28" s="121" t="s">
        <v>8</v>
      </c>
      <c r="C28" s="121"/>
      <c r="D28" s="69"/>
      <c r="E28" s="121" t="s">
        <v>9</v>
      </c>
      <c r="F28" s="122"/>
      <c r="G28" s="115" t="s">
        <v>55</v>
      </c>
      <c r="H28" s="52"/>
    </row>
    <row r="29" spans="1:11" ht="47.25" customHeight="1" x14ac:dyDescent="0.25">
      <c r="A29" s="68"/>
      <c r="B29" s="112"/>
      <c r="C29" s="112"/>
      <c r="D29" s="70"/>
      <c r="E29" s="112"/>
      <c r="F29" s="126"/>
      <c r="G29" s="115"/>
      <c r="H29" s="52"/>
    </row>
    <row r="30" spans="1:11" ht="15.75" customHeight="1" x14ac:dyDescent="0.25">
      <c r="A30" s="68"/>
      <c r="B30" s="123" t="s">
        <v>14</v>
      </c>
      <c r="C30" s="123"/>
      <c r="D30" s="123"/>
      <c r="E30" s="123"/>
      <c r="F30" s="124"/>
      <c r="G30" s="115" t="s">
        <v>60</v>
      </c>
      <c r="H30" s="52"/>
    </row>
    <row r="31" spans="1:11" ht="15.75" customHeight="1" x14ac:dyDescent="0.25">
      <c r="A31" s="68"/>
      <c r="B31" s="108" t="str">
        <f>IF(LEN(Reference!L12)&lt;188,(Reference!L12),MID(Reference!L12,1,170))</f>
        <v>s/w  c/b# prov mv. re;</v>
      </c>
      <c r="C31" s="108"/>
      <c r="D31" s="108"/>
      <c r="E31" s="108"/>
      <c r="F31" s="125"/>
      <c r="G31" s="115"/>
      <c r="H31" s="52"/>
      <c r="I31" s="53">
        <v>0</v>
      </c>
      <c r="J31" s="54">
        <v>1</v>
      </c>
      <c r="K31" s="54">
        <f>I31+1</f>
        <v>1</v>
      </c>
    </row>
    <row r="32" spans="1:11" ht="15.75" customHeight="1" x14ac:dyDescent="0.25">
      <c r="A32" s="68"/>
      <c r="B32" s="110" t="str">
        <f>IF(LEN(Reference!L12)&lt;188,"",MID(Reference!L12,171,170))</f>
        <v/>
      </c>
      <c r="C32" s="110"/>
      <c r="D32" s="110"/>
      <c r="E32" s="110"/>
      <c r="F32" s="111"/>
      <c r="G32" s="115"/>
      <c r="H32" s="52"/>
      <c r="I32" s="54">
        <f>I31+170</f>
        <v>170</v>
      </c>
      <c r="J32" s="54">
        <v>2</v>
      </c>
      <c r="K32" s="54">
        <f t="shared" ref="K32:K37" si="0">I32+1</f>
        <v>171</v>
      </c>
    </row>
    <row r="33" spans="1:11" ht="15.75" customHeight="1" x14ac:dyDescent="0.25">
      <c r="A33" s="68"/>
      <c r="B33" s="110" t="str">
        <f>IF(LEN(Reference!$L$12)&lt;188,"",MID(Reference!$L$12,341,170))</f>
        <v/>
      </c>
      <c r="C33" s="110"/>
      <c r="D33" s="110"/>
      <c r="E33" s="110"/>
      <c r="F33" s="111"/>
      <c r="G33" s="115"/>
      <c r="H33" s="52"/>
      <c r="I33" s="54">
        <f>I32+170</f>
        <v>340</v>
      </c>
      <c r="J33" s="54">
        <v>3</v>
      </c>
      <c r="K33" s="54">
        <f t="shared" si="0"/>
        <v>341</v>
      </c>
    </row>
    <row r="34" spans="1:11" ht="15.75" customHeight="1" x14ac:dyDescent="0.25">
      <c r="A34" s="68"/>
      <c r="B34" s="109" t="str">
        <f>IF(LEN(Reference!$L$12)&lt;188,"",MID(Reference!$L$12,511,170))</f>
        <v/>
      </c>
      <c r="C34" s="110"/>
      <c r="D34" s="110"/>
      <c r="E34" s="110"/>
      <c r="F34" s="111"/>
      <c r="G34" s="52"/>
      <c r="H34" s="52"/>
      <c r="I34" s="54">
        <f t="shared" ref="I34:I38" si="1">I33+170</f>
        <v>510</v>
      </c>
      <c r="J34" s="54">
        <v>4</v>
      </c>
      <c r="K34" s="54">
        <f t="shared" si="0"/>
        <v>511</v>
      </c>
    </row>
    <row r="35" spans="1:11" ht="15.75" customHeight="1" x14ac:dyDescent="0.25">
      <c r="A35" s="68"/>
      <c r="B35" s="110" t="str">
        <f>IF(LEN(Reference!$L$12)&lt;188,"",MID(Reference!$L$12,681,170))</f>
        <v/>
      </c>
      <c r="C35" s="110"/>
      <c r="D35" s="110"/>
      <c r="E35" s="110"/>
      <c r="F35" s="110"/>
      <c r="G35" s="52"/>
      <c r="H35" s="52"/>
      <c r="I35" s="54">
        <f t="shared" si="1"/>
        <v>680</v>
      </c>
      <c r="J35" s="54">
        <v>5</v>
      </c>
      <c r="K35" s="54">
        <f t="shared" si="0"/>
        <v>681</v>
      </c>
    </row>
    <row r="36" spans="1:11" ht="15.75" customHeight="1" x14ac:dyDescent="0.25">
      <c r="A36" s="68"/>
      <c r="B36" s="110" t="str">
        <f>IF(LEN(Reference!$L$12)&lt;188,"",MID(Reference!$L$12,851,170))</f>
        <v/>
      </c>
      <c r="C36" s="110"/>
      <c r="D36" s="110"/>
      <c r="E36" s="110"/>
      <c r="F36" s="110"/>
      <c r="G36" s="52"/>
      <c r="H36" s="52"/>
      <c r="I36" s="54">
        <f t="shared" si="1"/>
        <v>850</v>
      </c>
      <c r="J36" s="54">
        <v>6</v>
      </c>
      <c r="K36" s="54">
        <f t="shared" si="0"/>
        <v>851</v>
      </c>
    </row>
    <row r="37" spans="1:11" ht="15.75" customHeight="1" x14ac:dyDescent="0.25">
      <c r="A37" s="68"/>
      <c r="B37" s="114" t="str">
        <f>IF(LEN(Reference!$L$12)&lt;188,"",MID(Reference!$L$12,1021,170))</f>
        <v/>
      </c>
      <c r="C37" s="114"/>
      <c r="D37" s="114"/>
      <c r="E37" s="114"/>
      <c r="F37" s="114"/>
      <c r="G37" s="52"/>
      <c r="H37" s="52"/>
      <c r="I37" s="54">
        <f t="shared" si="1"/>
        <v>1020</v>
      </c>
      <c r="J37" s="54">
        <v>7</v>
      </c>
      <c r="K37" s="54">
        <f t="shared" si="0"/>
        <v>1021</v>
      </c>
    </row>
    <row r="38" spans="1:11" x14ac:dyDescent="0.25">
      <c r="A38" s="68"/>
      <c r="B38" s="52"/>
      <c r="C38" s="52"/>
      <c r="D38" s="52"/>
      <c r="E38" s="52"/>
      <c r="F38" s="71"/>
      <c r="G38" s="52"/>
      <c r="H38" s="52"/>
      <c r="I38" s="54">
        <f t="shared" si="1"/>
        <v>1190</v>
      </c>
      <c r="J38" s="54">
        <v>8</v>
      </c>
      <c r="K38" s="54">
        <f>I38+1</f>
        <v>1191</v>
      </c>
    </row>
    <row r="39" spans="1:11" ht="15.75" customHeight="1" x14ac:dyDescent="0.25">
      <c r="A39" s="68"/>
      <c r="B39" s="121" t="s">
        <v>8</v>
      </c>
      <c r="C39" s="121"/>
      <c r="D39" s="69"/>
      <c r="E39" s="121" t="s">
        <v>9</v>
      </c>
      <c r="F39" s="121"/>
      <c r="G39" s="52"/>
      <c r="H39" s="52"/>
    </row>
    <row r="40" spans="1:11" ht="47.25" customHeight="1" x14ac:dyDescent="0.25">
      <c r="A40" s="68"/>
      <c r="B40" s="112"/>
      <c r="C40" s="112"/>
      <c r="D40" s="72"/>
      <c r="E40" s="112"/>
      <c r="F40" s="112"/>
      <c r="G40" s="52"/>
      <c r="H40" s="52"/>
    </row>
    <row r="41" spans="1:11" ht="16.5" customHeight="1" x14ac:dyDescent="0.25">
      <c r="A41" s="68"/>
      <c r="B41" s="113" t="s">
        <v>15</v>
      </c>
      <c r="C41" s="113"/>
      <c r="D41" s="113"/>
      <c r="E41" s="113"/>
      <c r="F41" s="113"/>
      <c r="G41" s="52"/>
      <c r="H41" s="52"/>
    </row>
    <row r="42" spans="1:11" ht="15.75" customHeight="1" x14ac:dyDescent="0.25">
      <c r="A42" s="52"/>
      <c r="B42" s="108" t="str">
        <f>IF(LEN(Reference!M13)&lt;188,(Reference!M13),LEFT(Reference!M13,170))</f>
        <v xml:space="preserve">s/w  c/b# prov mv. re; . adv; </v>
      </c>
      <c r="C42" s="108"/>
      <c r="D42" s="108"/>
      <c r="E42" s="108"/>
      <c r="F42" s="108"/>
      <c r="G42" s="52"/>
      <c r="H42" s="52"/>
    </row>
    <row r="43" spans="1:11" x14ac:dyDescent="0.25">
      <c r="A43" s="52"/>
      <c r="B43" s="109" t="str">
        <f>IF(LEN(Reference!M13)&lt;188,"",MID(Reference!M13,171,170))</f>
        <v/>
      </c>
      <c r="C43" s="110"/>
      <c r="D43" s="110"/>
      <c r="E43" s="110"/>
      <c r="F43" s="111"/>
      <c r="G43" s="52"/>
      <c r="H43" s="52"/>
    </row>
    <row r="44" spans="1:11" x14ac:dyDescent="0.25">
      <c r="A44" s="52"/>
      <c r="B44" s="109" t="str">
        <f>IF(LEN(Reference!M13)&lt;188,"",MID(Reference!M13,341,170))</f>
        <v/>
      </c>
      <c r="C44" s="110"/>
      <c r="D44" s="110"/>
      <c r="E44" s="110"/>
      <c r="F44" s="111"/>
      <c r="G44" s="52"/>
      <c r="H44" s="52"/>
    </row>
    <row r="45" spans="1:11" x14ac:dyDescent="0.25">
      <c r="A45" s="52"/>
      <c r="B45" s="52"/>
      <c r="C45" s="52"/>
      <c r="D45" s="52"/>
      <c r="E45" s="52"/>
      <c r="F45" s="52"/>
      <c r="G45" s="52"/>
      <c r="H45" s="52"/>
    </row>
  </sheetData>
  <sheetProtection password="CF6E" sheet="1" objects="1" scenarios="1" formatColumns="0" formatRows="0"/>
  <customSheetViews>
    <customSheetView guid="{6909F6D7-F74B-4DAF-840B-E8F5749D8A64}">
      <selection activeCell="D6" sqref="D6:D9"/>
      <pageMargins left="0.7" right="0.7" top="0.75" bottom="0.75" header="0.3" footer="0.3"/>
      <pageSetup orientation="portrait" horizontalDpi="1200" verticalDpi="1200" r:id="rId1"/>
    </customSheetView>
  </customSheetViews>
  <mergeCells count="27">
    <mergeCell ref="B39:C39"/>
    <mergeCell ref="E39:F39"/>
    <mergeCell ref="B33:F33"/>
    <mergeCell ref="B30:F30"/>
    <mergeCell ref="B31:F31"/>
    <mergeCell ref="B32:F32"/>
    <mergeCell ref="B1:G1"/>
    <mergeCell ref="B2:G2"/>
    <mergeCell ref="A25:F25"/>
    <mergeCell ref="A26:F26"/>
    <mergeCell ref="B28:C28"/>
    <mergeCell ref="E28:F28"/>
    <mergeCell ref="G28:G29"/>
    <mergeCell ref="G26:G27"/>
    <mergeCell ref="B29:C29"/>
    <mergeCell ref="E29:F29"/>
    <mergeCell ref="B34:F34"/>
    <mergeCell ref="B35:F35"/>
    <mergeCell ref="B36:F36"/>
    <mergeCell ref="B37:F37"/>
    <mergeCell ref="G30:G33"/>
    <mergeCell ref="B42:F42"/>
    <mergeCell ref="B43:F43"/>
    <mergeCell ref="B44:F44"/>
    <mergeCell ref="B40:C40"/>
    <mergeCell ref="E40:F40"/>
    <mergeCell ref="B41:F41"/>
  </mergeCells>
  <pageMargins left="0.7" right="0.7" top="0.75" bottom="0.75" header="0.3" footer="0.3"/>
  <pageSetup orientation="portrait" horizontalDpi="1200" verticalDpi="12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28"/>
  <sheetViews>
    <sheetView workbookViewId="0">
      <selection activeCell="J10" sqref="J10"/>
    </sheetView>
  </sheetViews>
  <sheetFormatPr defaultColWidth="22.140625" defaultRowHeight="15.75" customHeight="1" x14ac:dyDescent="0.25"/>
  <cols>
    <col min="1" max="7" width="22.140625" style="17"/>
    <col min="8" max="8" width="22.140625" style="17" customWidth="1"/>
    <col min="9" max="9" width="22.140625" style="17"/>
    <col min="10" max="10" width="30.28515625" style="17" customWidth="1"/>
    <col min="11" max="11" width="52.28515625" style="17" customWidth="1"/>
    <col min="12" max="12" width="29.85546875" style="17" customWidth="1"/>
    <col min="13" max="16384" width="22.140625" style="17"/>
  </cols>
  <sheetData>
    <row r="1" spans="1:15" ht="15.75" customHeight="1" x14ac:dyDescent="0.25">
      <c r="A1" s="10"/>
      <c r="H1" s="16" t="s">
        <v>35</v>
      </c>
      <c r="I1" s="16" t="s">
        <v>36</v>
      </c>
      <c r="J1" s="17" t="s">
        <v>62</v>
      </c>
      <c r="K1" s="17" t="s">
        <v>56</v>
      </c>
      <c r="L1" s="17" t="s">
        <v>45</v>
      </c>
      <c r="M1" s="17" t="s">
        <v>63</v>
      </c>
    </row>
    <row r="2" spans="1:15" s="10" customFormat="1" ht="15.75" customHeight="1" x14ac:dyDescent="0.25">
      <c r="A2" s="20" t="s">
        <v>61</v>
      </c>
      <c r="B2" s="23" t="s">
        <v>32</v>
      </c>
      <c r="C2" s="23" t="s">
        <v>33</v>
      </c>
      <c r="D2" s="23" t="s">
        <v>30</v>
      </c>
      <c r="E2" s="21" t="s">
        <v>43</v>
      </c>
      <c r="F2" s="21" t="s">
        <v>20</v>
      </c>
      <c r="G2" s="21" t="s">
        <v>59</v>
      </c>
      <c r="H2" s="9" t="str">
        <f>CONCATENATE("Clminq Dos:",Cutlog!B6," Amt:$",Cutlog!C6,IF(ISTEXT(Cutlog!$B$11),CONCATENATE(" ",Cutlog!$B$11),""))</f>
        <v>Clminq Dos: Amt:$</v>
      </c>
      <c r="I2" s="32" t="str">
        <f>CONCATENATE("Clm#:",Cutlog!D6,IF(ISTEXT(Cutlog!E6),CONCATENATE(" pd:$",Cutlog!E6),"")," on ",Cutlog!F6,IF(ISTEXT(Cutlog!G6),CONCATENATE(" thru chk#:",Cutlog!G6),""),IF(ISTEXT(Cutlog!E11),CONCATENATE(" ",Cutlog!E11),""))</f>
        <v xml:space="preserve">Clm#: on </v>
      </c>
      <c r="J2" s="24" t="str">
        <f>CONCATENATE("Clminq Dos:",Multilog!$B6," Amt:$",Multilog!$C6,". adv; Clm#:",Multilog!$D6,IF(ISTEXT(Multilog!$E6),CONCATENATE(" pd:$",Multilog!$E6),"")," on ",Multilog!$F6,IF(ISTEXT(Multilog!$G6),CONCATENATE(" thru chk#:",Multilog!$G6),""))</f>
        <v xml:space="preserve">Clminq Dos: Amt:$. adv; Clm#: on </v>
      </c>
      <c r="K2" s="24" t="str">
        <f>CONCATENATE("Clminq Dos:",Multilog!$B6," Amt:$",Multilog!$C6,,". adv; Clm#:",Multilog!$D6,IF(ISTEXT(Multilog!$E6),CONCATENATE(" clm den,",Multilog!$E6),"")," on ",Multilog!$F6)</f>
        <v xml:space="preserve">Clminq Dos: Amt:$. adv; Clm#: on </v>
      </c>
      <c r="L2" s="24" t="str">
        <f>CONCATENATE("Clmnof Dos:",Multilog!$B6," Amt:$",Multilog!$C6,IF(ISTEXT(Multilog!$B$11)," clm not on file "))</f>
        <v xml:space="preserve">Clmnof Dos: Amt:$ clm not on file </v>
      </c>
      <c r="M2" s="22" t="str">
        <f>CONCATENATE(IF(OR(ISNUMBER(SEARCH("clminq",Multilog!$A6)),ISNUMBER(SEARCH("clmpd",Multilog!$A6))),Reference!$J2,IF(ISNUMBER(SEARCH("clmnof",Multilog!$A6)),Reference!$L2,IF(ISNUMBER(SEARCH("clmden",Multilog!$A6)),Reference!$K2,""))))</f>
        <v/>
      </c>
      <c r="N2" s="9"/>
      <c r="O2" s="32"/>
    </row>
    <row r="3" spans="1:15" ht="15.75" customHeight="1" x14ac:dyDescent="0.25">
      <c r="A3" s="20" t="s">
        <v>17</v>
      </c>
      <c r="B3" s="19" t="s">
        <v>19</v>
      </c>
      <c r="C3" s="21" t="s">
        <v>25</v>
      </c>
      <c r="D3" s="21" t="s">
        <v>16</v>
      </c>
      <c r="E3" s="10" t="str">
        <f>""</f>
        <v/>
      </c>
      <c r="F3" s="10" t="str">
        <f>""</f>
        <v/>
      </c>
      <c r="G3" s="10" t="str">
        <f>""</f>
        <v/>
      </c>
      <c r="H3" s="24" t="str">
        <f>CONCATENATE("Elginq",IF(ISTEXT(Cutlog!$B$11),CONCATENATE(" ",Cutlog!$B$11),""))</f>
        <v>Elginq</v>
      </c>
      <c r="I3" s="9" t="str">
        <f>CONCATENATE("Elig w/",Cutlog!B6," ","since ",Cutlog!C6,IF(ISTEXT(Cutlog!$D$6),CONCATENATE(" PCP is ",Cutlog!$D$6),""),IF(ISTEXT(Cutlog!E11),CONCATENATE(" ",Cutlog!E11),""))</f>
        <v xml:space="preserve">Elig w/ since </v>
      </c>
      <c r="J3" s="24" t="str">
        <f>CONCATENATE(". 2.Re; Clminq Dos:",Multilog!$B8," Amt:$",Multilog!$C8,". adv; Clm#:",Multilog!$D8,IF(ISTEXT(Multilog!$E8),CONCATENATE(" pd:$",Multilog!$E8),"")," on ",Multilog!$F8,IF(ISTEXT(Multilog!$G8),CONCATENATE(" thru chk#:",Multilog!$G8),""))</f>
        <v xml:space="preserve">. 2.Re; Clminq Dos: Amt:$. adv; Clm#: on </v>
      </c>
      <c r="K3" s="24" t="str">
        <f>CONCATENATE(". 2.Re; Clminq Dos:",Multilog!$B8," Amt:$",Multilog!$C8,". adv; Clm#:",Multilog!$D8,IF(ISTEXT(Multilog!$E8),CONCATENATE(" clm den,",Multilog!$E8),"")," on ",Multilog!$F8)</f>
        <v xml:space="preserve">. 2.Re; Clminq Dos: Amt:$. adv; Clm#: on </v>
      </c>
      <c r="L3" s="24" t="str">
        <f>CONCATENATE(". 2.Re; Clmnof Dos:",Multilog!$B8," Amt:$",Multilog!$C8,IF(ISTEXT(Multilog!$B$11)," clm not on file "))</f>
        <v xml:space="preserve">. 2.Re; Clmnof Dos: Amt:$ clm not on file </v>
      </c>
      <c r="M3" s="22" t="str">
        <f>CONCATENATE(IF(OR(ISNUMBER(SEARCH("clminq",Multilog!$A8)),ISNUMBER(SEARCH("clmpd",Multilog!$A8))),Reference!$J3,IF(ISNUMBER(SEARCH("clmnof",Multilog!$A8)),Reference!$L3,IF(ISNUMBER(SEARCH("clmden",Multilog!$A8)),Reference!$K3,""))))</f>
        <v/>
      </c>
      <c r="N3" s="24"/>
      <c r="O3" s="9"/>
    </row>
    <row r="4" spans="1:15" ht="15.75" customHeight="1" x14ac:dyDescent="0.25">
      <c r="A4" s="20" t="s">
        <v>22</v>
      </c>
      <c r="B4" s="19" t="s">
        <v>24</v>
      </c>
      <c r="C4" s="21" t="s">
        <v>25</v>
      </c>
      <c r="D4" s="10" t="str">
        <f>""</f>
        <v/>
      </c>
      <c r="E4" s="10" t="str">
        <f>""</f>
        <v/>
      </c>
      <c r="F4" s="10" t="str">
        <f>""</f>
        <v/>
      </c>
      <c r="G4" s="10" t="str">
        <f>""</f>
        <v/>
      </c>
      <c r="H4" s="24" t="str">
        <f>CONCATENATE("Athinq",IF(ISTEXT(Cutlog!$B$11),CONCATENATE(" ",Cutlog!$B$11),""))</f>
        <v>Athinq</v>
      </c>
      <c r="I4" s="9" t="str">
        <f>CONCATENATE("Auth#",Cutlog!B6," valid from ",Cutlog!C6," ",Cutlog!E11)</f>
        <v xml:space="preserve">Auth# valid from  </v>
      </c>
      <c r="J4" s="24" t="str">
        <f>CONCATENATE(". 3.Re; Clminq Dos:",Multilog!$B10," Amt:$",Multilog!$C10,". adv; Clm#:",Multilog!$D10,IF(ISTEXT(Multilog!$E10),CONCATENATE(" pd:$",Multilog!$E10),"")," on ",Multilog!$F10,IF(ISTEXT(Multilog!$G10),CONCATENATE(" thru chk#:",Multilog!$G10),""))</f>
        <v xml:space="preserve">. 3.Re; Clminq Dos: Amt:$. adv; Clm#: on </v>
      </c>
      <c r="K4" s="24" t="str">
        <f>CONCATENATE(". 3.Re; Clminq Dos:",Multilog!$B10," Amt:$",Multilog!$C10,". adv; Clm#:",Multilog!$D10,IF(ISTEXT(Multilog!$E10),CONCATENATE(" clm den,",Multilog!$E10),"")," on ",Multilog!$F10)</f>
        <v xml:space="preserve">. 3.Re; Clminq Dos: Amt:$. adv; Clm#: on </v>
      </c>
      <c r="L4" s="24" t="str">
        <f>CONCATENATE(". 3.Re; Clmnof Dos:",Multilog!$B10," Amt:$",Multilog!$C10,IF(ISTEXT(Multilog!$B$11)," clm not on file "))</f>
        <v xml:space="preserve">. 3.Re; Clmnof Dos: Amt:$ clm not on file </v>
      </c>
      <c r="M4" s="22" t="str">
        <f>CONCATENATE(IF(OR(ISNUMBER(SEARCH("clminq",Multilog!$A10)),ISNUMBER(SEARCH("clmpd",Multilog!$A10))),Reference!$J4,IF(ISNUMBER(SEARCH("clmnof",Multilog!$A10)),Reference!$L4,IF(ISNUMBER(SEARCH("clmden",Multilog!$A10)),Reference!$K4,""))))</f>
        <v/>
      </c>
      <c r="N4" s="24"/>
      <c r="O4" s="9"/>
    </row>
    <row r="5" spans="1:15" ht="15.75" customHeight="1" x14ac:dyDescent="0.25">
      <c r="A5" s="20" t="s">
        <v>23</v>
      </c>
      <c r="B5" s="19" t="s">
        <v>26</v>
      </c>
      <c r="C5" s="21" t="s">
        <v>27</v>
      </c>
      <c r="D5" s="21" t="s">
        <v>46</v>
      </c>
      <c r="E5" s="21" t="s">
        <v>28</v>
      </c>
      <c r="F5" s="21" t="s">
        <v>44</v>
      </c>
      <c r="G5" s="21" t="s">
        <v>31</v>
      </c>
      <c r="H5" s="9" t="str">
        <f>CONCATENATE("Also s/w ",Cutlog!G6," ",Cutlog!E6," c/b#",Cutlog!F6," Requesting PCP change to ",Cutlog!C6," LEG#",Cutlog!B6,IF(ISTEXT(Cutlog!$B$11),CONCATENATE(" ",Cutlog!$B$11),""))</f>
        <v>Also s/w   c/b# Requesting PCP change to  LEG#</v>
      </c>
      <c r="I5" s="24" t="str">
        <f>CONCATENATE("change effective ",Cutlog!D6)</f>
        <v xml:space="preserve">change effective </v>
      </c>
      <c r="J5" s="24" t="str">
        <f>CONCATENATE(". 4.Re; Clminq Dos:",Multilog!$B12," Amt:$",Multilog!$C12,". adv; Clm#:",Multilog!$D12,IF(ISTEXT(Multilog!$E12),CONCATENATE(" pd:$",Multilog!$E12),"")," on ",Multilog!$F12,IF(ISTEXT(Multilog!$G12),CONCATENATE(" thru chk#:",Multilog!$G12),""))</f>
        <v xml:space="preserve">. 4.Re; Clminq Dos: Amt:$. adv; Clm#: on </v>
      </c>
      <c r="K5" s="24" t="str">
        <f>CONCATENATE(". 4.Re; Clminq Dos:",Multilog!$B12," Amt:$",Multilog!$C12,". adv; Clm#:",Multilog!$D12,IF(ISTEXT(Multilog!$E12),CONCATENATE(" clm den,",Multilog!$E12),"")," on ",Multilog!$F12)</f>
        <v xml:space="preserve">. 4.Re; Clminq Dos: Amt:$. adv; Clm#: on </v>
      </c>
      <c r="L5" s="24" t="str">
        <f>CONCATENATE(". 4.Re; Clmnof Dos:",Multilog!$B12," Amt:$",Multilog!$C12,IF(ISTEXT(Multilog!$B$11)," clm not on file "))</f>
        <v xml:space="preserve">. 4.Re; Clmnof Dos: Amt:$ clm not on file </v>
      </c>
      <c r="M5" s="22" t="str">
        <f>CONCATENATE(IF(OR(ISNUMBER(SEARCH("clminq",Multilog!$A12)),ISNUMBER(SEARCH("clmpd",Multilog!$A12))),Reference!$J5,IF(ISNUMBER(SEARCH("clmnof",Multilog!$A12)),Reference!$L5,IF(ISNUMBER(SEARCH("clmden",Multilog!$A12)),Reference!$K5,""))))</f>
        <v/>
      </c>
      <c r="N5" s="9"/>
      <c r="O5" s="24"/>
    </row>
    <row r="6" spans="1:15" s="10" customFormat="1" ht="15.75" customHeight="1" x14ac:dyDescent="0.25">
      <c r="A6" s="22" t="s">
        <v>37</v>
      </c>
      <c r="B6" s="21" t="s">
        <v>32</v>
      </c>
      <c r="C6" s="21" t="s">
        <v>33</v>
      </c>
      <c r="D6" s="21" t="s">
        <v>30</v>
      </c>
      <c r="E6" s="21" t="s">
        <v>38</v>
      </c>
      <c r="F6" s="21" t="s">
        <v>39</v>
      </c>
      <c r="G6" s="21" t="s">
        <v>49</v>
      </c>
      <c r="H6" s="9" t="str">
        <f>CONCATENATE("Applst Dos:",Cutlog!B6," Amt:$",Cutlog!C6," Clm#:",Cutlog!D6,IF(ISTEXT(Cutlog!$B$11),CONCATENATE(" ",Cutlog!$B$11),""))</f>
        <v>Applst Dos: Amt:$ Clm#:</v>
      </c>
      <c r="I6" s="32" t="str">
        <f>CONCATENATE(IF(ISTEXT(Cutlog!E6),CONCATENATE(" case#:",Cutlog!E6),""),IF(ISTEXT(Cutlog!F6),CONCATENATE(" date:",Cutlog!F6),""),IF(ISTEXT(Cutlog!G6),CONCATENATE(" status:",Cutlog!G6),""),IF(ISTEXT(Cutlog!E11),CONCATENATE(" ",Cutlog!E11),""))</f>
        <v/>
      </c>
      <c r="J6" s="24" t="str">
        <f>CONCATENATE(". 5.Re; Clminq Dos:",Multilog!$B14," Amt:$",Multilog!$C14,". adv; Clm#:",Multilog!$D14,IF(ISTEXT(Multilog!$E14),CONCATENATE(" pd:$",Multilog!$E14),"")," on ",Multilog!$F14,IF(ISTEXT(Multilog!$G14),CONCATENATE(" thru chk#:",Multilog!$G14),""))</f>
        <v xml:space="preserve">. 5.Re; Clminq Dos: Amt:$. adv; Clm#: on </v>
      </c>
      <c r="K6" s="24" t="str">
        <f>CONCATENATE(". 5.Re; Clminq Dos:",Multilog!$B14," Amt:$",Multilog!$C14,". adv; Clm#:",Multilog!$D14,IF(ISTEXT(Multilog!$E14),CONCATENATE(" clm den,",Multilog!$E14),"")," on ",Multilog!$F14)</f>
        <v xml:space="preserve">. 5.Re; Clminq Dos: Amt:$. adv; Clm#: on </v>
      </c>
      <c r="L6" s="24" t="str">
        <f>CONCATENATE(". 5.Re; Clmnof Dos:",Multilog!$B14," Amt:$",Multilog!$C14,IF(ISTEXT(Multilog!$B$11)," clm not on file "))</f>
        <v xml:space="preserve">. 5.Re; Clmnof Dos: Amt:$ clm not on file </v>
      </c>
      <c r="M6" s="22" t="str">
        <f>CONCATENATE(IF(OR(ISNUMBER(SEARCH("clminq",Multilog!$A14)),ISNUMBER(SEARCH("clmpd",Multilog!$A14))),Reference!$J6,IF(ISNUMBER(SEARCH("clmnof",Multilog!$A14)),Reference!$L6,IF(ISNUMBER(SEARCH("clmden",Multilog!$A14)),Reference!$K6,""))))</f>
        <v/>
      </c>
      <c r="N6" s="9"/>
      <c r="O6" s="32"/>
    </row>
    <row r="7" spans="1:15" ht="15.75" customHeight="1" x14ac:dyDescent="0.25">
      <c r="A7" s="22" t="s">
        <v>45</v>
      </c>
      <c r="B7" s="23" t="s">
        <v>32</v>
      </c>
      <c r="C7" s="23" t="s">
        <v>33</v>
      </c>
      <c r="D7" s="17" t="str">
        <f>""</f>
        <v/>
      </c>
      <c r="E7" s="17" t="str">
        <f>""</f>
        <v/>
      </c>
      <c r="F7" s="17" t="str">
        <f>""</f>
        <v/>
      </c>
      <c r="G7" s="17" t="str">
        <f>""</f>
        <v/>
      </c>
      <c r="H7" s="9" t="str">
        <f>CONCATENATE("Clmnof Dos:",Cutlog!B6," Amt:$",Cutlog!C6,IF(ISTEXT(Cutlog!$B$11),CONCATENATE(" ",Cutlog!$B$11),""))</f>
        <v>Clmnof Dos: Amt:$</v>
      </c>
      <c r="I7" s="24" t="str">
        <f>CONCATENATE("clm not on file ",Cutlog!E11)</f>
        <v xml:space="preserve">clm not on file </v>
      </c>
      <c r="J7" s="24" t="str">
        <f>CONCATENATE(". 6.Re; Clminq Dos:",Multilog!$B16," Amt:$",Multilog!$C16,". adv; Clm#:",Multilog!$D16,IF(ISTEXT(Multilog!$E16),CONCATENATE(" pd:$",Multilog!$E16),"")," on ",Multilog!$F16,IF(ISTEXT(Multilog!$G16),CONCATENATE(" thru chk#:",Multilog!$G16),""))</f>
        <v xml:space="preserve">. 6.Re; Clminq Dos: Amt:$. adv; Clm#: on </v>
      </c>
      <c r="K7" s="24" t="str">
        <f>CONCATENATE(". 6.Re; Clminq Dos:",Multilog!$B16," Amt:$",Multilog!$C16,". adv; Clm#:",Multilog!$D16,IF(ISTEXT(Multilog!$E16),CONCATENATE(" clm den,",Multilog!$E16),"")," on ",Multilog!$F16)</f>
        <v xml:space="preserve">. 6.Re; Clminq Dos: Amt:$. adv; Clm#: on </v>
      </c>
      <c r="L7" s="24" t="str">
        <f>CONCATENATE(". 6.Re; Clmnof Dos:",Multilog!$B16," Amt:$",Multilog!$C16,IF(ISTEXT(Multilog!$B$11)," clm not on file "))</f>
        <v xml:space="preserve">. 6.Re; Clmnof Dos: Amt:$ clm not on file </v>
      </c>
      <c r="M7" s="22" t="str">
        <f>CONCATENATE(IF(OR(ISNUMBER(SEARCH("clminq",Multilog!$A16)),ISNUMBER(SEARCH("clmpd",Multilog!$A16))),Reference!$J7,IF(ISNUMBER(SEARCH("clmnof",Multilog!$A16)),Reference!$L7,IF(ISNUMBER(SEARCH("clmden",Multilog!$A16)),Reference!$K7,""))))</f>
        <v/>
      </c>
      <c r="N7" s="9"/>
      <c r="O7" s="24"/>
    </row>
    <row r="8" spans="1:15" s="10" customFormat="1" ht="15.75" customHeight="1" x14ac:dyDescent="0.25">
      <c r="A8" s="20" t="s">
        <v>56</v>
      </c>
      <c r="B8" s="23" t="s">
        <v>32</v>
      </c>
      <c r="C8" s="23" t="s">
        <v>33</v>
      </c>
      <c r="D8" s="23" t="s">
        <v>30</v>
      </c>
      <c r="E8" s="21" t="s">
        <v>57</v>
      </c>
      <c r="F8" s="48" t="s">
        <v>58</v>
      </c>
      <c r="G8" s="47" t="str">
        <f>""</f>
        <v/>
      </c>
      <c r="H8" s="9" t="str">
        <f>CONCATENATE("Clminq Dos:",Cutlog!B6," Amt:$",Cutlog!C6,IF(ISTEXT(Cutlog!$B$11),CONCATENATE(" ",Cutlog!$B$11),""))</f>
        <v>Clminq Dos: Amt:$</v>
      </c>
      <c r="I8" s="32" t="str">
        <f>CONCATENATE("Clm#:",Cutlog!D6,IF(ISTEXT(Cutlog!E6),CONCATENATE(" clm den,",Cutlog!E6),"")," on ",Cutlog!F6,IF(ISTEXT(Cutlog!E11),CONCATENATE(" ",Cutlog!E11),""))</f>
        <v xml:space="preserve">Clm#: on </v>
      </c>
      <c r="J8" s="24" t="str">
        <f>CONCATENATE(". 7.Re; Clminq Dos:",Multilog!$B18," Amt:$",Multilog!$C18,". adv; Clm#:",Multilog!$D18,IF(ISTEXT(Multilog!$E18),CONCATENATE(" pd:$",Multilog!$E18),"")," on ",Multilog!$F18,IF(ISTEXT(Multilog!$G18),CONCATENATE(" thru chk#:",Multilog!$G18),""))</f>
        <v xml:space="preserve">. 7.Re; Clminq Dos: Amt:$. adv; Clm#: on </v>
      </c>
      <c r="K8" s="24" t="str">
        <f>CONCATENATE(". 7.Re; Clminq Dos:",Multilog!$B18," Amt:$",Multilog!$C18,". adv; Clm#:",Multilog!$D18,IF(ISTEXT(Multilog!$E18),CONCATENATE(" clm den,",Multilog!$E18),"")," on ",Multilog!$F18)</f>
        <v xml:space="preserve">. 7.Re; Clminq Dos: Amt:$. adv; Clm#: on </v>
      </c>
      <c r="L8" s="24" t="str">
        <f>CONCATENATE(". 7.Re; Clmnof Dos:",Multilog!$B18," Amt:$",Multilog!$C18,IF(ISTEXT(Multilog!$B$11)," clm not on file "))</f>
        <v xml:space="preserve">. 7.Re; Clmnof Dos: Amt:$ clm not on file </v>
      </c>
      <c r="M8" s="22" t="str">
        <f>CONCATENATE(IF(OR(ISNUMBER(SEARCH("clminq",Multilog!$A18)),ISNUMBER(SEARCH("clmpd",Multilog!$A18))),Reference!$J8,IF(ISNUMBER(SEARCH("clmnof",Multilog!$A18)),Reference!$L8,IF(ISNUMBER(SEARCH("clmden",Multilog!$A18)),Reference!$K8,""))))</f>
        <v/>
      </c>
      <c r="N8" s="9"/>
      <c r="O8" s="32"/>
    </row>
    <row r="9" spans="1:15" s="10" customFormat="1" ht="15.75" customHeight="1" x14ac:dyDescent="0.25">
      <c r="A9" s="19" t="str">
        <f>CONCATENATE(Reference!D9,Reference!D13,Cutlog!A4,Reference!D13,Reference!D11,Cutlog!B4,Reference!D13,Reference!D10)</f>
        <v>s/w  c/b# prov mv. re;</v>
      </c>
      <c r="B9" s="20" t="str">
        <f>CONCATENATE(IF(OR(ISNUMBER(SEARCH("clminq",Cutlog!$A$6)),ISNUMBER(SEARCH("clmpd",Cutlog!$A$6)),ISNUMBER(SEARCH("clm",Cutlog!$A$6))),Reference!H2,IF(ISNUMBER(SEARCH("elginq",Cutlog!$A$6)),Reference!H3,IF(ISNUMBER(SEARCH("athinq",Cutlog!$A$6)),Reference!H4,IF(ISNUMBER(SEARCH("pcpchg",Cutlog!$A$6)),Reference!H5,IF(ISNUMBER(SEARCH("applst",Cutlog!$A$6)),Reference!H6,IF(ISNUMBER(SEARCH("clmnof",Cutlog!$A$6)),Reference!H7,IF(ISNUMBER(SEARCH("clmden",Cutlog!$A$6)),Reference!H8,Cutlog!B11))))))))</f>
        <v/>
      </c>
      <c r="C9" s="20" t="str">
        <f>CONCATENATE(D12,IF(OR(ISNUMBER(SEARCH("clminq",Cutlog!$A$6)),ISNUMBER(SEARCH("clmpd",Cutlog!$A$6))),Reference!I2,IF(ISNUMBER(SEARCH("elginq",Cutlog!$A$6)),Reference!I3,IF(ISNUMBER(SEARCH("athinq",Cutlog!$A$6)),Reference!I4,IF(ISNUMBER(SEARCH("pcpchg",Cutlog!$A$6)),Reference!I5,IF(ISNUMBER(SEARCH("applst",Cutlog!$A$6)),Reference!I6,IF(ISNUMBER(SEARCH("clmnof",Cutlog!$A$6)),Reference!I7,IF(ISNUMBER(SEARCH("clmden",Cutlog!$A$6)),Reference!I8,Cutlog!E11))))))))</f>
        <v>. adv;</v>
      </c>
      <c r="D9" s="9" t="s">
        <v>0</v>
      </c>
      <c r="E9" s="127" t="s">
        <v>13</v>
      </c>
      <c r="F9" s="127"/>
      <c r="G9" s="127"/>
      <c r="H9" s="127"/>
      <c r="J9" s="24" t="str">
        <f>CONCATENATE(". 8.Re; Clminq Dos:",Multilog!$B20," Amt:$",Multilog!$C20,". adv; Clm#:",Multilog!$D20,IF(ISTEXT(Multilog!$E20),CONCATENATE(" pd:$",Multilog!$E20),"")," on ",Multilog!$F20,IF(ISTEXT(Multilog!$G20),CONCATENATE(" thru chk#:",Multilog!$G20),""))</f>
        <v xml:space="preserve">. 8.Re; Clminq Dos: Amt:$. adv; Clm#: on </v>
      </c>
      <c r="K9" s="24" t="str">
        <f>CONCATENATE(". 8.Re; Clminq Dos:",Multilog!$B20," Amt:$",Multilog!$C20,". adv; Clm#:",Multilog!$D20,IF(ISTEXT(Multilog!$E20),CONCATENATE(" clm den,",Multilog!$E20),"")," on ",Multilog!$F20)</f>
        <v xml:space="preserve">. 8.Re; Clminq Dos: Amt:$. adv; Clm#: on </v>
      </c>
      <c r="L9" s="24" t="str">
        <f>CONCATENATE(". 8.Re; Clmnof Dos:",Multilog!$B20," Amt:$",Multilog!$C20,IF(ISTEXT(Multilog!$B$11)," clm not on file "))</f>
        <v xml:space="preserve">. 8.Re; Clmnof Dos: Amt:$ clm not on file </v>
      </c>
      <c r="M9" s="22" t="str">
        <f>CONCATENATE(IF(OR(ISNUMBER(SEARCH("clminq",Multilog!$A20)),ISNUMBER(SEARCH("clmpd",Multilog!$A20))),Reference!$J9,IF(ISNUMBER(SEARCH("clmnof",Multilog!$A20)),Reference!$L9,IF(ISNUMBER(SEARCH("clmden",Multilog!$A20)),Reference!$K9,""))))</f>
        <v/>
      </c>
    </row>
    <row r="10" spans="1:15" ht="15.75" customHeight="1" x14ac:dyDescent="0.25">
      <c r="A10" s="21" t="str">
        <f>CONCATENATE(Reference!D9,Reference!D13,Cutlog!A4,Reference!D13,Reference!D11,Cutlog!B4,Reference!D13,Reference!D10)</f>
        <v>s/w  c/b# prov mv. re;</v>
      </c>
      <c r="B10" s="22" t="str">
        <f>IF(LEN(Cutlog!B18)=6,IF(ISNUMBER(SEARCH("clminq",Cutlog!B18)),H2,Cutlog!B18),CONCATENATE(Cutlog!B18))</f>
        <v/>
      </c>
      <c r="C10" s="20" t="str">
        <f>CONCATENATE(Reference!D12,Cutlog!E18)</f>
        <v>. adv;</v>
      </c>
      <c r="D10" s="9" t="s">
        <v>1</v>
      </c>
      <c r="E10" s="127"/>
      <c r="F10" s="127"/>
      <c r="G10" s="127"/>
      <c r="H10" s="127"/>
      <c r="J10" s="24" t="str">
        <f>CONCATENATE(". 9.Re; Clminq Dos:",Multilog!$B22," Amt:$",Multilog!$C22,". adv; Clm#:",Multilog!$D22,IF(ISTEXT(Multilog!$E22),CONCATENATE(" pd:$",Multilog!$E22),"")," on ",Multilog!$F22,IF(ISTEXT(Multilog!$G22),CONCATENATE(" thru chk#:",Multilog!$G22),""))</f>
        <v xml:space="preserve">. 9.Re; Clminq Dos: Amt:$. adv; Clm#: on </v>
      </c>
      <c r="K10" s="24" t="str">
        <f>CONCATENATE(". 9.Re; Clminq Dos:",Multilog!$B22," Amt:$",Multilog!$C22,". adv; Clm#:",Multilog!$D22,IF(ISTEXT(Multilog!$E22),CONCATENATE(" clm den,",Multilog!$E22),"")," on ",Multilog!$F22)</f>
        <v xml:space="preserve">. 9.Re; Clminq Dos: Amt:$. adv; Clm#: on </v>
      </c>
      <c r="L10" s="24" t="str">
        <f>CONCATENATE(". 9.Re; Clmnof Dos:",Multilog!$B22," Amt:$",Multilog!$C22,IF(ISTEXT(Multilog!$B$11)," clm not on file "))</f>
        <v xml:space="preserve">. 9.Re; Clmnof Dos: Amt:$ clm not on file </v>
      </c>
      <c r="M10" s="22" t="str">
        <f>CONCATENATE(IF(OR(ISNUMBER(SEARCH("clminq",Multilog!$A22)),ISNUMBER(SEARCH("clmpd",Multilog!$A22))),Reference!$J10,IF(ISNUMBER(SEARCH("clmnof",Multilog!$A22)),Reference!$L10,IF(ISNUMBER(SEARCH("clmden",Multilog!$A22)),Reference!$K10,""))))</f>
        <v/>
      </c>
    </row>
    <row r="11" spans="1:15" ht="15.75" customHeight="1" x14ac:dyDescent="0.25">
      <c r="A11" s="27" t="str">
        <f>CONCATENATE(Reference!A9,Reference!B9,Reference!C9)</f>
        <v>s/w  c/b# prov mv. re;. adv;</v>
      </c>
      <c r="B11" s="27"/>
      <c r="C11" s="25"/>
      <c r="D11" s="9" t="s">
        <v>2</v>
      </c>
      <c r="E11" s="127"/>
      <c r="F11" s="127"/>
      <c r="G11" s="127"/>
      <c r="H11" s="127"/>
      <c r="J11" s="24" t="str">
        <f>CONCATENATE(". 10.Re; Clminq Dos:",Multilog!$B24," Amt:$",Multilog!$C24,". adv; Clm#:",Multilog!$D24,IF(ISTEXT(Multilog!$E24),CONCATENATE(" pd:$",Multilog!$E24),"")," on ",Multilog!$F24,IF(ISTEXT(Multilog!$G24),CONCATENATE(" thru chk#:",Multilog!$G24),""))</f>
        <v xml:space="preserve">. 10.Re; Clminq Dos: Amt:$. adv; Clm#: on </v>
      </c>
      <c r="K11" s="24" t="str">
        <f>CONCATENATE(". 10.Re; Clminq Dos:",Multilog!$B24," Amt:$",Multilog!$C24,". adv; Clm#:",Multilog!$D24,IF(ISTEXT(Multilog!$E24),CONCATENATE(" clm den,",Multilog!$E24),"")," on ",Multilog!$F24)</f>
        <v xml:space="preserve">. 10.Re; Clminq Dos: Amt:$. adv; Clm#: on </v>
      </c>
      <c r="L11" s="24" t="str">
        <f>CONCATENATE(". 10.Re; Clmnof Dos:",Multilog!$B24," Amt:$",Multilog!$C24,IF(ISTEXT(Multilog!$B$11)," clm not on file "))</f>
        <v xml:space="preserve">. 10.Re; Clmnof Dos: Amt:$ clm not on file </v>
      </c>
      <c r="M11" s="22" t="str">
        <f>CONCATENATE(IF(OR(ISNUMBER(SEARCH("clminq",Multilog!$A24)),ISNUMBER(SEARCH("clmpd",Multilog!$A24))),Reference!$J11,IF(ISNUMBER(SEARCH("clmnof",Multilog!$A24)),Reference!$L11,IF(ISNUMBER(SEARCH("clmden",Multilog!$A24)),Reference!$K11,""))))</f>
        <v/>
      </c>
    </row>
    <row r="12" spans="1:15" ht="15.75" customHeight="1" x14ac:dyDescent="0.25">
      <c r="A12" s="28" t="str">
        <f>CONCATENATE(Reference!A10,Reference!B10,Reference!C10)</f>
        <v>s/w  c/b# prov mv. re;. adv;</v>
      </c>
      <c r="B12" s="28"/>
      <c r="C12" s="26"/>
      <c r="D12" s="9" t="s">
        <v>4</v>
      </c>
      <c r="E12" s="127"/>
      <c r="F12" s="127"/>
      <c r="G12" s="127"/>
      <c r="H12" s="127"/>
      <c r="J12" s="48" t="str">
        <f>CONCATENATE(Reference!D9,Reference!D13,Multilog!A4,Reference!D13,Reference!D11,Multilog!B4,Reference!D13,Reference!D15)</f>
        <v>s/w  c/b# prov mv. re;</v>
      </c>
      <c r="K12" s="22" t="str">
        <f>CONCATENATE(IF(ISTEXT(M2),(M2),""),IF(ISTEXT(M3),(M3),""),IF(ISTEXT(M4),(M4),""),IF(ISTEXT(M5),(M5),""),IF(ISTEXT(M6),(M6),""),IF(ISTEXT(M7),(M7),""),IF(ISTEXT(M8),(M8),""),IF(ISTEXT(M9),(M9),""),IF(ISTEXT(M10),(M10),""),IF(ISTEXT(M11),(M11),""))</f>
        <v/>
      </c>
      <c r="L12" s="49" t="str">
        <f>CONCATENATE(J12,K12,IF(ISTEXT(Multilog!E29),CONCATENATE(" Also adv; ",Multilog!E29),""))</f>
        <v>s/w  c/b# prov mv. re;</v>
      </c>
    </row>
    <row r="13" spans="1:15" ht="15.75" customHeight="1" x14ac:dyDescent="0.25">
      <c r="D13" s="9" t="s">
        <v>3</v>
      </c>
      <c r="E13" s="127"/>
      <c r="F13" s="127"/>
      <c r="G13" s="127"/>
      <c r="H13" s="127"/>
      <c r="J13" s="21" t="str">
        <f>CONCATENATE(Reference!D9,Reference!D13,Multilog!A4,Reference!D13,Reference!D11,Multilog!B4,Reference!D13,Reference!D10)</f>
        <v>s/w  c/b# prov mv. re;</v>
      </c>
      <c r="K13" s="22" t="str">
        <f>CONCATENATE(" ",IF(ISTEXT(Multilog!B40),Multilog!B40,""))</f>
        <v xml:space="preserve"> </v>
      </c>
      <c r="L13" s="22" t="str">
        <f>CONCATENATE(D12," ",IF(ISTEXT(Multilog!E40),Multilog!E40,""))</f>
        <v xml:space="preserve">. adv; </v>
      </c>
      <c r="M13" s="10" t="str">
        <f>CONCATENATE(J13,K13,L13)</f>
        <v xml:space="preserve">s/w  c/b# prov mv. re; . adv; </v>
      </c>
    </row>
    <row r="14" spans="1:15" ht="15.75" customHeight="1" x14ac:dyDescent="0.25">
      <c r="D14" s="18" t="s">
        <v>34</v>
      </c>
      <c r="E14" s="127"/>
      <c r="F14" s="127"/>
      <c r="G14" s="127"/>
      <c r="H14" s="127"/>
      <c r="M14" s="10"/>
    </row>
    <row r="15" spans="1:15" ht="15.75" customHeight="1" x14ac:dyDescent="0.25">
      <c r="D15" s="9" t="str">
        <f>CONCATENATE("prov mv. ",IF(ISTEXT(Multilog!B8),"1.re;","re;"))</f>
        <v>prov mv. re;</v>
      </c>
      <c r="E15" s="127"/>
      <c r="F15" s="127"/>
      <c r="G15" s="127"/>
      <c r="H15" s="127"/>
      <c r="M15" s="10"/>
    </row>
    <row r="16" spans="1:15" ht="15.75" customHeight="1" x14ac:dyDescent="0.25">
      <c r="E16" s="127"/>
      <c r="F16" s="127"/>
      <c r="G16" s="127"/>
      <c r="H16" s="127"/>
    </row>
    <row r="17" spans="1:8" ht="15.75" customHeight="1" x14ac:dyDescent="0.25">
      <c r="E17" s="127"/>
      <c r="F17" s="127"/>
      <c r="G17" s="127"/>
      <c r="H17" s="127"/>
    </row>
    <row r="18" spans="1:8" ht="15.75" customHeight="1" x14ac:dyDescent="0.25">
      <c r="E18" s="127"/>
      <c r="F18" s="127"/>
      <c r="G18" s="127"/>
      <c r="H18" s="127"/>
    </row>
    <row r="19" spans="1:8" ht="15.75" customHeight="1" x14ac:dyDescent="0.25">
      <c r="E19" s="127"/>
      <c r="F19" s="127"/>
      <c r="G19" s="127"/>
      <c r="H19" s="127"/>
    </row>
    <row r="20" spans="1:8" ht="15.75" customHeight="1" x14ac:dyDescent="0.25">
      <c r="E20" s="127"/>
      <c r="F20" s="127"/>
      <c r="G20" s="127"/>
      <c r="H20" s="127"/>
    </row>
    <row r="21" spans="1:8" ht="15.75" customHeight="1" x14ac:dyDescent="0.25">
      <c r="E21" s="127"/>
      <c r="F21" s="127"/>
      <c r="G21" s="127"/>
      <c r="H21" s="127"/>
    </row>
    <row r="22" spans="1:8" ht="15.75" customHeight="1" x14ac:dyDescent="0.25">
      <c r="E22" s="127"/>
      <c r="F22" s="127"/>
      <c r="G22" s="127"/>
      <c r="H22" s="127"/>
    </row>
    <row r="23" spans="1:8" ht="15.75" customHeight="1" x14ac:dyDescent="0.25">
      <c r="E23" s="127"/>
      <c r="F23" s="127"/>
      <c r="G23" s="127"/>
      <c r="H23" s="127"/>
    </row>
    <row r="24" spans="1:8" ht="15.75" customHeight="1" x14ac:dyDescent="0.25">
      <c r="E24" s="127"/>
      <c r="F24" s="127"/>
      <c r="G24" s="127"/>
      <c r="H24" s="127"/>
    </row>
    <row r="25" spans="1:8" ht="15.75" customHeight="1" x14ac:dyDescent="0.25">
      <c r="E25" s="127"/>
      <c r="F25" s="127"/>
      <c r="G25" s="127"/>
      <c r="H25" s="127"/>
    </row>
    <row r="27" spans="1:8" ht="15.75" customHeight="1" x14ac:dyDescent="0.25">
      <c r="A27" s="31" t="s">
        <v>41</v>
      </c>
    </row>
    <row r="28" spans="1:8" ht="15.75" customHeight="1" x14ac:dyDescent="0.25">
      <c r="A28" s="31" t="s">
        <v>40</v>
      </c>
    </row>
  </sheetData>
  <sheetProtection password="CF6E" sheet="1" objects="1" scenarios="1" selectLockedCells="1" selectUnlockedCells="1"/>
  <customSheetViews>
    <customSheetView guid="{6909F6D7-F74B-4DAF-840B-E8F5749D8A64}" topLeftCell="I1">
      <selection activeCell="J14" sqref="J14"/>
      <pageMargins left="0.7" right="0.7" top="0.75" bottom="0.75" header="0.3" footer="0.3"/>
      <pageSetup orientation="portrait" r:id="rId1"/>
    </customSheetView>
  </customSheetViews>
  <mergeCells count="1">
    <mergeCell ref="E9:H25"/>
  </mergeCell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Cutlog</vt:lpstr>
      <vt:lpstr>Multilog</vt:lpstr>
      <vt:lpstr>Reference</vt:lpstr>
    </vt:vector>
  </TitlesOfParts>
  <Company>Johns Hopkins HealthCare LLC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Henderson, Matthew;JAguirre@jhhc.com</dc:creator>
  <cp:lastModifiedBy>Henderson, Matthew</cp:lastModifiedBy>
  <cp:lastPrinted>2016-05-04T18:45:58Z</cp:lastPrinted>
  <dcterms:created xsi:type="dcterms:W3CDTF">2016-03-18T14:52:09Z</dcterms:created>
  <dcterms:modified xsi:type="dcterms:W3CDTF">2016-05-12T20:10:09Z</dcterms:modified>
</cp:coreProperties>
</file>